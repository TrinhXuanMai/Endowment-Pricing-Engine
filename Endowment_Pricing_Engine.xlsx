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 firstSheet="2" activeTab="1"/>
  </bookViews>
  <sheets>
    <sheet name="1_Mortality_Table" sheetId="1" r:id="rId1"/>
    <sheet name="2_Pricing_Engine" sheetId="2" r:id="rId2"/>
    <sheet name="3_Reserve_Projection" sheetId="3" r:id="rId3"/>
    <sheet name="4_Stress_Test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<sst xmlns="http://schemas.openxmlformats.org/spreadsheetml/2006/main" count="118" uniqueCount="98">
  <si>
    <t>CSO 1980 MORTALITY TABLE</t>
  </si>
  <si>
    <t>Source: Circular 156/2007/TT-BTC (Dec 20, 2007) by the Ministry of Finance (MOF) | Scope: Ages 25–50 (aligned with 15-year Endowment)</t>
  </si>
  <si>
    <t>Age (x)</t>
  </si>
  <si>
    <t>qx Male</t>
  </si>
  <si>
    <t>px Male
(1-qx)</t>
  </si>
  <si>
    <t>lx Male
(survivors)</t>
  </si>
  <si>
    <t>dx Male
(deaths)</t>
  </si>
  <si>
    <t>qx Female</t>
  </si>
  <si>
    <t>px Female
(1-qx)</t>
  </si>
  <si>
    <t>lx Female
(survivors)</t>
  </si>
  <si>
    <t>dx Female
(deaths)</t>
  </si>
  <si>
    <t>Note: Initial lx = 100,000 (radix). px = probability of survival. dx = number of deaths. Male table utilized for Base Case pricing.</t>
  </si>
  <si>
    <t>PRICING ENGINE — EDUCATION ENDOWMENT INSURANCE</t>
  </si>
  <si>
    <t>Lapse-Adjusted Net Premium Calculation | CSO 1980 Mortality | Vietnam Market</t>
  </si>
  <si>
    <t>KEY ASSUMPTIONS (Yellow cells = Dynamic Inputs / Automatically recalculate the model)</t>
  </si>
  <si>
    <t>Entry age (x)</t>
  </si>
  <si>
    <t>year</t>
  </si>
  <si>
    <t>Policy Term (n)</t>
  </si>
  <si>
    <t>Sum Assured (S)</t>
  </si>
  <si>
    <t>VND</t>
  </si>
  <si>
    <t xml:space="preserve">Technical Interest Rate (i)
</t>
  </si>
  <si>
    <t>5.00%</t>
  </si>
  <si>
    <t>Lapse rate Year 1</t>
  </si>
  <si>
    <t>20%</t>
  </si>
  <si>
    <t>Lapse rate year 2+</t>
  </si>
  <si>
    <t>8%</t>
  </si>
  <si>
    <t>Mortality loading factor</t>
  </si>
  <si>
    <t>100% of CSO 1980</t>
  </si>
  <si>
    <t>YEAR-BY-YEAR PROJECTION TABLE</t>
  </si>
  <si>
    <t>Year (t)</t>
  </si>
  <si>
    <t>Age (x+t)</t>
  </si>
  <si>
    <t>qx (CSO1980)</t>
  </si>
  <si>
    <t>px</t>
  </si>
  <si>
    <t>tPx
(survival)</t>
  </si>
  <si>
    <t>Lapse
Survival</t>
  </si>
  <si>
    <t>vt
(discount)</t>
  </si>
  <si>
    <t>tPx × vt</t>
  </si>
  <si>
    <t>Lapse-adj
tPx × vt</t>
  </si>
  <si>
    <t>Reserve
Vt (approx)</t>
  </si>
  <si>
    <t>→ Sheet 3</t>
  </si>
  <si>
    <t>PRICING RESULTS</t>
  </si>
  <si>
    <t>Annuity Factor ä (no lapse)</t>
  </si>
  <si>
    <t>VND factor</t>
  </si>
  <si>
    <t>Annuity Factor ä* (lapse-adjusted)</t>
  </si>
  <si>
    <t>15P15 — survival prob to maturity</t>
  </si>
  <si>
    <t>probability</t>
  </si>
  <si>
    <t>Net Single Premium (NSP)</t>
  </si>
  <si>
    <t>Net Annual Premium — Base (NAP)</t>
  </si>
  <si>
    <t>VND/year</t>
  </si>
  <si>
    <t>Premium calibrated via Python DCF (Goal Seek equivalent) to converge Year-15 Reserve to exactly 800M VND.</t>
  </si>
  <si>
    <t>NAP — Lapse Adjusted (NAP*)</t>
  </si>
  <si>
    <t>Premium Burden (% income 300M/yr)</t>
  </si>
  <si>
    <t>%</t>
  </si>
  <si>
    <t>PROSPECTIVE RESERVE PROJECTION — 15-YEAR ENDOWMENT</t>
  </si>
  <si>
    <t>Vt = [ (Vt-1 + Premium) × (1+i) - Death Benefit × qx ] / px | Fackler's Retrospective Method</t>
  </si>
  <si>
    <t>RESERVE RUN-OFF TABLE (Base Scenario)</t>
  </si>
  <si>
    <t>Năm (t)</t>
  </si>
  <si>
    <t>Tuổi</t>
  </si>
  <si>
    <t>tPx</t>
  </si>
  <si>
    <t>PV Future
Benefits</t>
  </si>
  <si>
    <t>PV Future
Premiums</t>
  </si>
  <si>
    <t>Reserve Vt</t>
  </si>
  <si>
    <t>Reserve
(% of Benefit)</t>
  </si>
  <si>
    <t>—</t>
  </si>
  <si>
    <t>0.0%</t>
  </si>
  <si>
    <t>[ (Reserve at t-1 + Current Premium) invested at 5% - Expected Death Claims ] / Expected Survivors</t>
  </si>
  <si>
    <t>STRESS TESTING — NAP SENSITIVITY ANALYSIS</t>
  </si>
  <si>
    <t>Objective: Measure the sensitivity of Premium to Interest Rate and Bancassurance Lapse shocks.</t>
  </si>
  <si>
    <t>SCENARIO A — NAP vs Interest Rate (mortality = base CSO 1980)</t>
  </si>
  <si>
    <t>Interest Rate (i)</t>
  </si>
  <si>
    <t>Gross Premium (VND/year)</t>
  </si>
  <si>
    <t>vs Base (5%)</t>
  </si>
  <si>
    <t>Premium Burden
(income 300M)</t>
  </si>
  <si>
    <t>HIGH</t>
  </si>
  <si>
    <t>MOD</t>
  </si>
  <si>
    <t>BASE</t>
  </si>
  <si>
    <t>SCENARIO B — Combined Stress: Interest × Bancassurance Lapse</t>
  </si>
  <si>
    <t>Scenario</t>
  </si>
  <si>
    <t xml:space="preserve">Interest Rate </t>
  </si>
  <si>
    <t>Commission Yr1</t>
  </si>
  <si>
    <t>Lapse Yr1</t>
  </si>
  <si>
    <t>Gross Premium</t>
  </si>
  <si>
    <t>Business Impact</t>
  </si>
  <si>
    <t>Base Case</t>
  </si>
  <si>
    <t>5.0%</t>
  </si>
  <si>
    <t>Baseline pricing. Profit margin is stable under standard assumptions.</t>
  </si>
  <si>
    <t>Banca Crisis</t>
  </si>
  <si>
    <t>Negligible premium impact (+0.3%). Liability release mathematically hedges the 80% upfront commission loss.</t>
  </si>
  <si>
    <t>Adverse 1</t>
  </si>
  <si>
    <t>Premium increases by 6.3% due to yield compression. Profitability becomes highly sensitive to lapse.</t>
  </si>
  <si>
    <t>Worst Case</t>
  </si>
  <si>
    <t>3.0%</t>
  </si>
  <si>
    <t>Severe premium surge (+12.8%). Product becomes commercially unviable without redesigning the commission structure.</t>
  </si>
  <si>
    <t>KEY FINDINGS &amp; ACTUARIAL RECOMMENDATION</t>
  </si>
  <si>
    <t>1. Python DCF Calibration: Excel's commutation rounding errors (Actuarial Drift) were identified and eliminated by calibrating the Base NAP via a Python Discounted Cash Flow model.</t>
  </si>
  <si>
    <t>2. Interest Rate Risk: The product is highly sensitive to interest rate drops; a 200bps decrease (from 5% to 3%) forces a ~18% increase in Pure Premium.</t>
  </si>
  <si>
    <t>3. Bancassurance Crisis Impact: An upfront commission structure (80% Yr-1) combined with severe early surrender (25% Yr-1) creates heavy acquisition losses.</t>
  </si>
  <si>
    <t>4. The "Liability Release" Effect: Surprisingly, in this 15-year Endowment, early lapses mathematically offset
 commission losses because the insurer is released from the massive 800M maturity obligation.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</si>
</sst>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#,##0&quot; VND&quot;"/>
    <numFmt numFmtId="178" formatCode="0.00000"/>
  </numFmts>
  <fonts count="37">
    <font>
      <sz val="11"/>
      <color theme="1"/>
      <name val="Calibri"/>
      <charset val="1"/>
    </font>
    <font>
      <b/>
      <sz val="14"/>
      <color rgb="FF1F3864"/>
      <name val="Arial"/>
      <charset val="1"/>
    </font>
    <font>
      <i/>
      <sz val="9"/>
      <color rgb="FF666666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sz val="10.5"/>
      <color rgb="FF2B2D31"/>
      <name val="Courier New"/>
      <charset val="1"/>
    </font>
    <font>
      <b/>
      <sz val="10"/>
      <name val="Arial"/>
      <charset val="1"/>
    </font>
    <font>
      <sz val="10.5"/>
      <color theme="1"/>
      <name val="Courier New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666666"/>
      <name val="Arial"/>
      <charset val="1"/>
    </font>
    <font>
      <i/>
      <sz val="10.5"/>
      <color rgb="FF1B1B1E"/>
      <name val="Arial"/>
      <charset val="1"/>
    </font>
    <font>
      <b/>
      <sz val="10"/>
      <color rgb="FF0000FF"/>
      <name val="Arial"/>
      <charset val="1"/>
    </font>
    <font>
      <sz val="9"/>
      <color rgb="FF666666"/>
      <name val="Arial"/>
      <charset val="1"/>
    </font>
    <font>
      <i/>
      <sz val="9"/>
      <color rgb="FF888888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6E4F7"/>
        <bgColor rgb="FFE0F0E0"/>
      </patternFill>
    </fill>
    <fill>
      <patternFill patternType="solid">
        <fgColor rgb="FFFFE0E0"/>
        <bgColor rgb="FFFFF0CC"/>
      </patternFill>
    </fill>
    <fill>
      <patternFill patternType="solid">
        <fgColor rgb="FFFFF0CC"/>
        <bgColor rgb="FFFFE0E0"/>
      </patternFill>
    </fill>
    <fill>
      <patternFill patternType="solid">
        <fgColor rgb="FFFFFFFF"/>
        <bgColor rgb="FFFFFFF0"/>
      </patternFill>
    </fill>
    <fill>
      <patternFill patternType="solid">
        <fgColor rgb="FF1F3864"/>
        <bgColor rgb="FF333333"/>
      </patternFill>
    </fill>
    <fill>
      <patternFill patternType="solid">
        <fgColor rgb="FFE8F5E9"/>
        <bgColor rgb="FFE0F0E0"/>
      </patternFill>
    </fill>
    <fill>
      <patternFill patternType="solid">
        <fgColor rgb="FFFFFFF0"/>
        <bgColor rgb="FFFFFFFF"/>
      </patternFill>
    </fill>
    <fill>
      <patternFill patternType="solid">
        <fgColor rgb="FFF5F5F5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theme="1" tint="0.5"/>
      </top>
      <bottom style="thin">
        <color rgb="FFB0B0B0"/>
      </bottom>
      <diagonal/>
    </border>
    <border>
      <left/>
      <right/>
      <top style="thin">
        <color theme="1" tint="0.5"/>
      </top>
      <bottom style="thin">
        <color theme="1" tint="0.5"/>
      </bottom>
      <diagonal/>
    </border>
    <border>
      <left/>
      <right/>
      <top style="thin">
        <color theme="1" tint="0.5"/>
      </top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Border="0" applyAlignment="0" applyProtection="0"/>
    <xf numFmtId="44" fontId="16" fillId="0" borderId="0" applyBorder="0" applyAlignment="0" applyProtection="0"/>
    <xf numFmtId="9" fontId="16" fillId="0" borderId="0" applyBorder="0" applyAlignment="0" applyProtection="0"/>
    <xf numFmtId="41" fontId="16" fillId="0" borderId="0" applyBorder="0" applyAlignment="0" applyProtection="0"/>
    <xf numFmtId="42" fontId="16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13" applyNumberFormat="0" applyAlignment="0" applyProtection="0">
      <alignment vertical="center"/>
    </xf>
    <xf numFmtId="0" fontId="27" fillId="12" borderId="14" applyNumberFormat="0" applyAlignment="0" applyProtection="0">
      <alignment vertical="center"/>
    </xf>
    <xf numFmtId="0" fontId="28" fillId="12" borderId="13" applyNumberFormat="0" applyAlignment="0" applyProtection="0">
      <alignment vertical="center"/>
    </xf>
    <xf numFmtId="0" fontId="29" fillId="13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/>
    <xf numFmtId="3" fontId="6" fillId="0" borderId="4" xfId="0" applyNumberFormat="1" applyFont="1" applyBorder="1"/>
    <xf numFmtId="0" fontId="5" fillId="3" borderId="1" xfId="0" applyFont="1" applyFill="1" applyBorder="1" applyAlignment="1">
      <alignment horizontal="center"/>
    </xf>
    <xf numFmtId="3" fontId="6" fillId="0" borderId="5" xfId="0" applyNumberFormat="1" applyFont="1" applyBorder="1"/>
    <xf numFmtId="0" fontId="5" fillId="4" borderId="1" xfId="0" applyFont="1" applyFill="1" applyBorder="1" applyAlignment="1">
      <alignment horizontal="center"/>
    </xf>
    <xf numFmtId="3" fontId="0" fillId="0" borderId="0" xfId="0" applyNumberFormat="1"/>
    <xf numFmtId="176" fontId="7" fillId="0" borderId="6" xfId="0" applyNumberFormat="1" applyFont="1" applyBorder="1"/>
    <xf numFmtId="3" fontId="8" fillId="0" borderId="7" xfId="0" applyNumberFormat="1" applyFont="1" applyBorder="1"/>
    <xf numFmtId="0" fontId="5" fillId="5" borderId="8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 wrapText="1"/>
    </xf>
    <xf numFmtId="9" fontId="7" fillId="7" borderId="1" xfId="0" applyNumberFormat="1" applyFont="1" applyFill="1" applyBorder="1" applyAlignment="1">
      <alignment vertical="center" wrapText="1"/>
    </xf>
    <xf numFmtId="3" fontId="7" fillId="7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0" xfId="0" applyFont="1" applyBorder="1" applyAlignment="1"/>
    <xf numFmtId="0" fontId="7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77" fontId="5" fillId="0" borderId="1" xfId="0" applyNumberFormat="1" applyFont="1" applyBorder="1"/>
    <xf numFmtId="0" fontId="11" fillId="0" borderId="1" xfId="0" applyFont="1" applyBorder="1"/>
    <xf numFmtId="178" fontId="10" fillId="0" borderId="1" xfId="0" applyNumberFormat="1" applyFont="1" applyBorder="1"/>
    <xf numFmtId="177" fontId="10" fillId="0" borderId="1" xfId="0" applyNumberFormat="1" applyFont="1" applyBorder="1"/>
    <xf numFmtId="177" fontId="4" fillId="7" borderId="1" xfId="0" applyNumberFormat="1" applyFont="1" applyFill="1" applyBorder="1"/>
    <xf numFmtId="176" fontId="10" fillId="0" borderId="1" xfId="0" applyNumberFormat="1" applyFont="1" applyBorder="1"/>
    <xf numFmtId="0" fontId="12" fillId="0" borderId="0" xfId="0" applyFont="1" applyAlignment="1">
      <alignment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1" fontId="13" fillId="8" borderId="1" xfId="0" applyNumberFormat="1" applyFont="1" applyFill="1" applyBorder="1"/>
    <xf numFmtId="0" fontId="14" fillId="0" borderId="1" xfId="0" applyFont="1" applyBorder="1"/>
    <xf numFmtId="177" fontId="13" fillId="8" borderId="1" xfId="0" applyNumberFormat="1" applyFont="1" applyFill="1" applyBorder="1"/>
    <xf numFmtId="0" fontId="10" fillId="0" borderId="1" xfId="0" applyFont="1" applyBorder="1" applyAlignment="1">
      <alignment horizontal="left" vertical="center" wrapText="1"/>
    </xf>
    <xf numFmtId="10" fontId="13" fillId="8" borderId="1" xfId="0" applyNumberFormat="1" applyFont="1" applyFill="1" applyBorder="1"/>
    <xf numFmtId="0" fontId="15" fillId="0" borderId="1" xfId="0" applyFont="1" applyBorder="1"/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2" fillId="0" borderId="0" xfId="0" applyFont="1"/>
    <xf numFmtId="0" fontId="7" fillId="9" borderId="1" xfId="0" applyFont="1" applyFill="1" applyBorder="1" applyAlignment="1">
      <alignment horizontal="center"/>
    </xf>
    <xf numFmtId="178" fontId="5" fillId="0" borderId="1" xfId="0" applyNumberFormat="1" applyFont="1" applyBorder="1"/>
    <xf numFmtId="3" fontId="5" fillId="0" borderId="1" xfId="0" applyNumberFormat="1" applyFont="1" applyBorder="1"/>
    <xf numFmtId="0" fontId="2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808000"/>
      <rgbColor rgb="00800080"/>
      <rgbColor rgb="00008080"/>
      <rgbColor rgb="00B0B0B0"/>
      <rgbColor rgb="00888888"/>
      <rgbColor rgb="009999FF"/>
      <rgbColor rgb="00993366"/>
      <rgbColor rgb="00FFF0CC"/>
      <rgbColor rgb="00E8F5E9"/>
      <rgbColor rgb="00660066"/>
      <rgbColor rgb="00FF8080"/>
      <rgbColor rgb="000066CC"/>
      <rgbColor rgb="00D6E4F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5F5"/>
      <rgbColor rgb="00E0F0E0"/>
      <rgbColor rgb="00FFFFF0"/>
      <rgbColor rgb="0099CCFF"/>
      <rgbColor rgb="00FF99CC"/>
      <rgbColor rgb="00CC99FF"/>
      <rgbColor rgb="00FFE0E0"/>
      <rgbColor rgb="003366FF"/>
      <rgbColor rgb="0033CCCC"/>
      <rgbColor rgb="0099CC00"/>
      <rgbColor rgb="00FFCC00"/>
      <rgbColor rgb="00FF9900"/>
      <rgbColor rgb="00FF6600"/>
      <rgbColor rgb="00666666"/>
      <rgbColor rgb="00999999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showGridLines="0" zoomScale="55" zoomScaleNormal="55" workbookViewId="0">
      <selection activeCell="I10" sqref="I10"/>
    </sheetView>
  </sheetViews>
  <sheetFormatPr defaultColWidth="8.67592592592593" defaultRowHeight="14.4"/>
  <cols>
    <col min="1" max="1" width="9.22222222222222" customWidth="1"/>
    <col min="2" max="9" width="14" customWidth="1"/>
  </cols>
  <sheetData>
    <row r="1" ht="17.4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6" customHeight="1"/>
    <row r="4" ht="36" customHeight="1" spans="1:9">
      <c r="A4" s="20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20" t="s">
        <v>10</v>
      </c>
    </row>
    <row r="5" ht="15.75" customHeight="1" spans="1:9">
      <c r="A5" s="61">
        <v>25</v>
      </c>
      <c r="B5" s="62">
        <v>0.00175</v>
      </c>
      <c r="C5" s="62">
        <f t="shared" ref="C5:C30" si="0">1-B5</f>
        <v>0.99825</v>
      </c>
      <c r="D5" s="63">
        <v>100000</v>
      </c>
      <c r="E5" s="63">
        <f t="shared" ref="E5:E30" si="1">D5*B5</f>
        <v>175</v>
      </c>
      <c r="F5" s="62">
        <v>0.00117</v>
      </c>
      <c r="G5" s="62">
        <f t="shared" ref="G5:G30" si="2">1-F5</f>
        <v>0.99883</v>
      </c>
      <c r="H5" s="63">
        <v>100000</v>
      </c>
      <c r="I5" s="63">
        <f t="shared" ref="I5:I30" si="3">H5*F5</f>
        <v>117</v>
      </c>
    </row>
    <row r="6" ht="15.75" customHeight="1" spans="1:9">
      <c r="A6" s="61">
        <v>26</v>
      </c>
      <c r="B6" s="62">
        <v>0.00172</v>
      </c>
      <c r="C6" s="62">
        <f t="shared" si="0"/>
        <v>0.99828</v>
      </c>
      <c r="D6" s="63">
        <f t="shared" ref="D6:D30" si="4">D5*C5</f>
        <v>99825</v>
      </c>
      <c r="E6" s="63">
        <f t="shared" si="1"/>
        <v>171.699</v>
      </c>
      <c r="F6" s="62">
        <v>0.0012</v>
      </c>
      <c r="G6" s="62">
        <f t="shared" si="2"/>
        <v>0.9988</v>
      </c>
      <c r="H6" s="63">
        <f t="shared" ref="H6:H30" si="5">H5*G5</f>
        <v>99883</v>
      </c>
      <c r="I6" s="63">
        <f t="shared" si="3"/>
        <v>119.8596</v>
      </c>
    </row>
    <row r="7" ht="15.75" customHeight="1" spans="1:9">
      <c r="A7" s="61">
        <v>27</v>
      </c>
      <c r="B7" s="62">
        <v>0.00171</v>
      </c>
      <c r="C7" s="62">
        <f t="shared" si="0"/>
        <v>0.99829</v>
      </c>
      <c r="D7" s="63">
        <f t="shared" si="4"/>
        <v>99653.301</v>
      </c>
      <c r="E7" s="63">
        <f t="shared" si="1"/>
        <v>170.40714471</v>
      </c>
      <c r="F7" s="62">
        <v>0.00124</v>
      </c>
      <c r="G7" s="62">
        <f t="shared" si="2"/>
        <v>0.99876</v>
      </c>
      <c r="H7" s="63">
        <f t="shared" si="5"/>
        <v>99763.1404</v>
      </c>
      <c r="I7" s="63">
        <f t="shared" si="3"/>
        <v>123.706294096</v>
      </c>
    </row>
    <row r="8" ht="15.75" customHeight="1" spans="1:9">
      <c r="A8" s="61">
        <v>28</v>
      </c>
      <c r="B8" s="62">
        <v>0.0017</v>
      </c>
      <c r="C8" s="62">
        <f t="shared" si="0"/>
        <v>0.9983</v>
      </c>
      <c r="D8" s="63">
        <f t="shared" si="4"/>
        <v>99482.89385529</v>
      </c>
      <c r="E8" s="63">
        <f t="shared" si="1"/>
        <v>169.120919553993</v>
      </c>
      <c r="F8" s="62">
        <v>0.00128</v>
      </c>
      <c r="G8" s="62">
        <f t="shared" si="2"/>
        <v>0.99872</v>
      </c>
      <c r="H8" s="63">
        <f t="shared" si="5"/>
        <v>99639.434105904</v>
      </c>
      <c r="I8" s="63">
        <f t="shared" si="3"/>
        <v>127.538475655557</v>
      </c>
    </row>
    <row r="9" ht="15.75" customHeight="1" spans="1:9">
      <c r="A9" s="61">
        <v>29</v>
      </c>
      <c r="B9" s="62">
        <v>0.00172</v>
      </c>
      <c r="C9" s="62">
        <f t="shared" si="0"/>
        <v>0.99828</v>
      </c>
      <c r="D9" s="63">
        <f t="shared" si="4"/>
        <v>99313.772935736</v>
      </c>
      <c r="E9" s="63">
        <f t="shared" si="1"/>
        <v>170.819689449466</v>
      </c>
      <c r="F9" s="62">
        <v>0.00132</v>
      </c>
      <c r="G9" s="62">
        <f t="shared" si="2"/>
        <v>0.99868</v>
      </c>
      <c r="H9" s="63">
        <f t="shared" si="5"/>
        <v>99511.8956302484</v>
      </c>
      <c r="I9" s="63">
        <f t="shared" si="3"/>
        <v>131.355702231928</v>
      </c>
    </row>
    <row r="10" ht="15.75" customHeight="1" spans="1:9">
      <c r="A10" s="61">
        <v>30</v>
      </c>
      <c r="B10" s="62">
        <v>0.00175</v>
      </c>
      <c r="C10" s="62">
        <f t="shared" si="0"/>
        <v>0.99825</v>
      </c>
      <c r="D10" s="63">
        <f t="shared" si="4"/>
        <v>99142.9532462865</v>
      </c>
      <c r="E10" s="63">
        <f t="shared" si="1"/>
        <v>173.500168181001</v>
      </c>
      <c r="F10" s="62">
        <v>0.00137</v>
      </c>
      <c r="G10" s="62">
        <f t="shared" si="2"/>
        <v>0.99863</v>
      </c>
      <c r="H10" s="63">
        <f t="shared" si="5"/>
        <v>99380.5399280165</v>
      </c>
      <c r="I10" s="63">
        <f t="shared" si="3"/>
        <v>136.151339701383</v>
      </c>
    </row>
    <row r="11" ht="15.75" customHeight="1" spans="1:9">
      <c r="A11" s="61">
        <v>31</v>
      </c>
      <c r="B11" s="62">
        <v>0.0018</v>
      </c>
      <c r="C11" s="62">
        <f t="shared" si="0"/>
        <v>0.9982</v>
      </c>
      <c r="D11" s="63">
        <f t="shared" si="4"/>
        <v>98969.4530781055</v>
      </c>
      <c r="E11" s="63">
        <f t="shared" si="1"/>
        <v>178.14501554059</v>
      </c>
      <c r="F11" s="62">
        <v>0.00142</v>
      </c>
      <c r="G11" s="62">
        <f t="shared" si="2"/>
        <v>0.99858</v>
      </c>
      <c r="H11" s="63">
        <f t="shared" si="5"/>
        <v>99244.3885883151</v>
      </c>
      <c r="I11" s="63">
        <f t="shared" si="3"/>
        <v>140.927031795407</v>
      </c>
    </row>
    <row r="12" ht="15.75" customHeight="1" spans="1:9">
      <c r="A12" s="61">
        <v>32</v>
      </c>
      <c r="B12" s="62">
        <v>0.00187</v>
      </c>
      <c r="C12" s="62">
        <f t="shared" si="0"/>
        <v>0.99813</v>
      </c>
      <c r="D12" s="63">
        <f t="shared" si="4"/>
        <v>98791.3080625649</v>
      </c>
      <c r="E12" s="63">
        <f t="shared" si="1"/>
        <v>184.739746076996</v>
      </c>
      <c r="F12" s="62">
        <v>0.00147</v>
      </c>
      <c r="G12" s="62">
        <f t="shared" si="2"/>
        <v>0.99853</v>
      </c>
      <c r="H12" s="63">
        <f t="shared" si="5"/>
        <v>99103.4615565197</v>
      </c>
      <c r="I12" s="63">
        <f t="shared" si="3"/>
        <v>145.682088488084</v>
      </c>
    </row>
    <row r="13" ht="15.75" customHeight="1" spans="1:9">
      <c r="A13" s="61">
        <v>33</v>
      </c>
      <c r="B13" s="62">
        <v>0.00195</v>
      </c>
      <c r="C13" s="62">
        <f t="shared" si="0"/>
        <v>0.99805</v>
      </c>
      <c r="D13" s="63">
        <f t="shared" si="4"/>
        <v>98606.5683164879</v>
      </c>
      <c r="E13" s="63">
        <f t="shared" si="1"/>
        <v>192.282808217151</v>
      </c>
      <c r="F13" s="62">
        <v>0.00154</v>
      </c>
      <c r="G13" s="62">
        <f t="shared" si="2"/>
        <v>0.99846</v>
      </c>
      <c r="H13" s="63">
        <f t="shared" si="5"/>
        <v>98957.7794680316</v>
      </c>
      <c r="I13" s="63">
        <f t="shared" si="3"/>
        <v>152.394980380769</v>
      </c>
    </row>
    <row r="14" ht="15.75" customHeight="1" spans="1:9">
      <c r="A14" s="61">
        <v>34</v>
      </c>
      <c r="B14" s="62">
        <v>0.00205</v>
      </c>
      <c r="C14" s="62">
        <f t="shared" si="0"/>
        <v>0.99795</v>
      </c>
      <c r="D14" s="63">
        <f t="shared" si="4"/>
        <v>98414.2855082708</v>
      </c>
      <c r="E14" s="63">
        <f t="shared" si="1"/>
        <v>201.749285291955</v>
      </c>
      <c r="F14" s="62">
        <v>0.00161</v>
      </c>
      <c r="G14" s="62">
        <f t="shared" si="2"/>
        <v>0.99839</v>
      </c>
      <c r="H14" s="63">
        <f t="shared" si="5"/>
        <v>98805.3844876509</v>
      </c>
      <c r="I14" s="63">
        <f t="shared" si="3"/>
        <v>159.076669025118</v>
      </c>
    </row>
    <row r="15" ht="15.75" customHeight="1" spans="1:9">
      <c r="A15" s="61">
        <v>35</v>
      </c>
      <c r="B15" s="62">
        <v>0.00217</v>
      </c>
      <c r="C15" s="62">
        <f t="shared" si="0"/>
        <v>0.99783</v>
      </c>
      <c r="D15" s="63">
        <f t="shared" si="4"/>
        <v>98212.5362229788</v>
      </c>
      <c r="E15" s="63">
        <f t="shared" si="1"/>
        <v>213.121203603864</v>
      </c>
      <c r="F15" s="62">
        <v>0.0017</v>
      </c>
      <c r="G15" s="62">
        <f t="shared" si="2"/>
        <v>0.9983</v>
      </c>
      <c r="H15" s="63">
        <f t="shared" si="5"/>
        <v>98646.3078186258</v>
      </c>
      <c r="I15" s="63">
        <f t="shared" si="3"/>
        <v>167.698723291664</v>
      </c>
    </row>
    <row r="16" ht="15.75" customHeight="1" spans="1:9">
      <c r="A16" s="61">
        <v>36</v>
      </c>
      <c r="B16" s="62">
        <v>0.00232</v>
      </c>
      <c r="C16" s="62">
        <f t="shared" si="0"/>
        <v>0.99768</v>
      </c>
      <c r="D16" s="63">
        <f t="shared" si="4"/>
        <v>97999.415019375</v>
      </c>
      <c r="E16" s="63">
        <f t="shared" si="1"/>
        <v>227.35864284495</v>
      </c>
      <c r="F16" s="62">
        <v>0.00182</v>
      </c>
      <c r="G16" s="62">
        <f t="shared" si="2"/>
        <v>0.99818</v>
      </c>
      <c r="H16" s="63">
        <f t="shared" si="5"/>
        <v>98478.6090953341</v>
      </c>
      <c r="I16" s="63">
        <f t="shared" si="3"/>
        <v>179.231068553508</v>
      </c>
    </row>
    <row r="17" ht="15.75" customHeight="1" spans="1:9">
      <c r="A17" s="61">
        <v>37</v>
      </c>
      <c r="B17" s="62">
        <v>0.00249</v>
      </c>
      <c r="C17" s="62">
        <f t="shared" si="0"/>
        <v>0.99751</v>
      </c>
      <c r="D17" s="63">
        <f t="shared" si="4"/>
        <v>97772.05637653</v>
      </c>
      <c r="E17" s="63">
        <f t="shared" si="1"/>
        <v>243.45242037756</v>
      </c>
      <c r="F17" s="62">
        <v>0.00196</v>
      </c>
      <c r="G17" s="62">
        <f t="shared" si="2"/>
        <v>0.99804</v>
      </c>
      <c r="H17" s="63">
        <f t="shared" si="5"/>
        <v>98299.3780267806</v>
      </c>
      <c r="I17" s="63">
        <f t="shared" si="3"/>
        <v>192.66678093249</v>
      </c>
    </row>
    <row r="18" ht="15.75" customHeight="1" spans="1:9">
      <c r="A18" s="61">
        <v>38</v>
      </c>
      <c r="B18" s="62">
        <v>0.00268</v>
      </c>
      <c r="C18" s="62">
        <f t="shared" si="0"/>
        <v>0.99732</v>
      </c>
      <c r="D18" s="63">
        <f t="shared" si="4"/>
        <v>97528.6039561524</v>
      </c>
      <c r="E18" s="63">
        <f t="shared" si="1"/>
        <v>261.376658602489</v>
      </c>
      <c r="F18" s="62">
        <v>0.00213</v>
      </c>
      <c r="G18" s="62">
        <f t="shared" si="2"/>
        <v>0.99787</v>
      </c>
      <c r="H18" s="63">
        <f t="shared" si="5"/>
        <v>98106.7112458481</v>
      </c>
      <c r="I18" s="63">
        <f t="shared" si="3"/>
        <v>208.967294953656</v>
      </c>
    </row>
    <row r="19" ht="15.75" customHeight="1" spans="1:9">
      <c r="A19" s="61">
        <v>39</v>
      </c>
      <c r="B19" s="62">
        <v>0.0029</v>
      </c>
      <c r="C19" s="62">
        <f t="shared" si="0"/>
        <v>0.9971</v>
      </c>
      <c r="D19" s="63">
        <f t="shared" si="4"/>
        <v>97267.22729755</v>
      </c>
      <c r="E19" s="63">
        <f t="shared" si="1"/>
        <v>282.074959162895</v>
      </c>
      <c r="F19" s="62">
        <v>0.00232</v>
      </c>
      <c r="G19" s="62">
        <f t="shared" si="2"/>
        <v>0.99768</v>
      </c>
      <c r="H19" s="63">
        <f t="shared" si="5"/>
        <v>97897.7439508944</v>
      </c>
      <c r="I19" s="63">
        <f t="shared" si="3"/>
        <v>227.122765966075</v>
      </c>
    </row>
    <row r="20" ht="15.75" customHeight="1" spans="1:9">
      <c r="A20" s="61">
        <v>40</v>
      </c>
      <c r="B20" s="62">
        <v>0.00315</v>
      </c>
      <c r="C20" s="62">
        <f t="shared" si="0"/>
        <v>0.99685</v>
      </c>
      <c r="D20" s="63">
        <f t="shared" si="4"/>
        <v>96985.1523383871</v>
      </c>
      <c r="E20" s="63">
        <f t="shared" si="1"/>
        <v>305.503229865919</v>
      </c>
      <c r="F20" s="62">
        <v>0.00253</v>
      </c>
      <c r="G20" s="62">
        <f t="shared" si="2"/>
        <v>0.99747</v>
      </c>
      <c r="H20" s="63">
        <f t="shared" si="5"/>
        <v>97670.6211849284</v>
      </c>
      <c r="I20" s="63">
        <f t="shared" si="3"/>
        <v>247.106671597869</v>
      </c>
    </row>
    <row r="21" ht="15.75" customHeight="1" spans="1:9">
      <c r="A21" s="61">
        <v>41</v>
      </c>
      <c r="B21" s="62">
        <v>0.00342</v>
      </c>
      <c r="C21" s="62">
        <f t="shared" si="0"/>
        <v>0.99658</v>
      </c>
      <c r="D21" s="63">
        <f t="shared" si="4"/>
        <v>96679.6491085211</v>
      </c>
      <c r="E21" s="63">
        <f t="shared" si="1"/>
        <v>330.644399951142</v>
      </c>
      <c r="F21" s="62">
        <v>0.00275</v>
      </c>
      <c r="G21" s="62">
        <f t="shared" si="2"/>
        <v>0.99725</v>
      </c>
      <c r="H21" s="63">
        <f t="shared" si="5"/>
        <v>97423.5145133305</v>
      </c>
      <c r="I21" s="63">
        <f t="shared" si="3"/>
        <v>267.914664911659</v>
      </c>
    </row>
    <row r="22" ht="15.75" customHeight="1" spans="1:9">
      <c r="A22" s="61">
        <v>42</v>
      </c>
      <c r="B22" s="62">
        <v>0.00371</v>
      </c>
      <c r="C22" s="62">
        <f t="shared" si="0"/>
        <v>0.99629</v>
      </c>
      <c r="D22" s="63">
        <f t="shared" si="4"/>
        <v>96349.00470857</v>
      </c>
      <c r="E22" s="63">
        <f t="shared" si="1"/>
        <v>357.454807468795</v>
      </c>
      <c r="F22" s="62">
        <v>0.00298</v>
      </c>
      <c r="G22" s="62">
        <f t="shared" si="2"/>
        <v>0.99702</v>
      </c>
      <c r="H22" s="63">
        <f t="shared" si="5"/>
        <v>97155.5998484188</v>
      </c>
      <c r="I22" s="63">
        <f t="shared" si="3"/>
        <v>289.523687548288</v>
      </c>
    </row>
    <row r="23" ht="15.75" customHeight="1" spans="1:9">
      <c r="A23" s="61">
        <v>43</v>
      </c>
      <c r="B23" s="62">
        <v>0.00403</v>
      </c>
      <c r="C23" s="62">
        <f t="shared" si="0"/>
        <v>0.99597</v>
      </c>
      <c r="D23" s="63">
        <f t="shared" si="4"/>
        <v>95991.5499011012</v>
      </c>
      <c r="E23" s="63">
        <f t="shared" si="1"/>
        <v>386.845946101438</v>
      </c>
      <c r="F23" s="62">
        <v>0.0032</v>
      </c>
      <c r="G23" s="62">
        <f t="shared" si="2"/>
        <v>0.9968</v>
      </c>
      <c r="H23" s="63">
        <f t="shared" si="5"/>
        <v>96866.0761608706</v>
      </c>
      <c r="I23" s="63">
        <f t="shared" si="3"/>
        <v>309.971443714786</v>
      </c>
    </row>
    <row r="24" ht="15.75" customHeight="1" spans="1:9">
      <c r="A24" s="61">
        <v>44</v>
      </c>
      <c r="B24" s="62">
        <v>0.00437</v>
      </c>
      <c r="C24" s="62">
        <f t="shared" si="0"/>
        <v>0.99563</v>
      </c>
      <c r="D24" s="63">
        <f t="shared" si="4"/>
        <v>95604.7039549998</v>
      </c>
      <c r="E24" s="63">
        <f t="shared" si="1"/>
        <v>417.792556283349</v>
      </c>
      <c r="F24" s="62">
        <v>0.00344</v>
      </c>
      <c r="G24" s="62">
        <f t="shared" si="2"/>
        <v>0.99656</v>
      </c>
      <c r="H24" s="63">
        <f t="shared" si="5"/>
        <v>96556.1047171558</v>
      </c>
      <c r="I24" s="63">
        <f t="shared" si="3"/>
        <v>332.153000227016</v>
      </c>
    </row>
    <row r="25" ht="15.75" customHeight="1" spans="1:9">
      <c r="A25" s="61">
        <v>45</v>
      </c>
      <c r="B25" s="62">
        <v>0.00473</v>
      </c>
      <c r="C25" s="62">
        <f t="shared" si="0"/>
        <v>0.99527</v>
      </c>
      <c r="D25" s="63">
        <f t="shared" si="4"/>
        <v>95186.9113987164</v>
      </c>
      <c r="E25" s="63">
        <f t="shared" si="1"/>
        <v>450.234090915929</v>
      </c>
      <c r="F25" s="62">
        <v>0.00368</v>
      </c>
      <c r="G25" s="62">
        <f t="shared" si="2"/>
        <v>0.99632</v>
      </c>
      <c r="H25" s="63">
        <f t="shared" si="5"/>
        <v>96223.9517169288</v>
      </c>
      <c r="I25" s="63">
        <f t="shared" si="3"/>
        <v>354.104142318298</v>
      </c>
    </row>
    <row r="26" ht="15.75" customHeight="1" spans="1:9">
      <c r="A26" s="61">
        <v>46</v>
      </c>
      <c r="B26" s="62">
        <v>0.00512</v>
      </c>
      <c r="C26" s="62">
        <f t="shared" si="0"/>
        <v>0.99488</v>
      </c>
      <c r="D26" s="63">
        <f t="shared" si="4"/>
        <v>94736.6773078005</v>
      </c>
      <c r="E26" s="63">
        <f t="shared" si="1"/>
        <v>485.051787815939</v>
      </c>
      <c r="F26" s="62">
        <v>0.00392</v>
      </c>
      <c r="G26" s="62">
        <f t="shared" si="2"/>
        <v>0.99608</v>
      </c>
      <c r="H26" s="63">
        <f t="shared" si="5"/>
        <v>95869.8475746105</v>
      </c>
      <c r="I26" s="63">
        <f t="shared" si="3"/>
        <v>375.809802492473</v>
      </c>
    </row>
    <row r="27" ht="15.75" customHeight="1" spans="1:9">
      <c r="A27" s="61">
        <v>47</v>
      </c>
      <c r="B27" s="62">
        <v>0.00553</v>
      </c>
      <c r="C27" s="62">
        <f t="shared" si="0"/>
        <v>0.99447</v>
      </c>
      <c r="D27" s="63">
        <f t="shared" si="4"/>
        <v>94251.6255199845</v>
      </c>
      <c r="E27" s="63">
        <f t="shared" si="1"/>
        <v>521.211489125515</v>
      </c>
      <c r="F27" s="62">
        <v>0.00419</v>
      </c>
      <c r="G27" s="62">
        <f t="shared" si="2"/>
        <v>0.99581</v>
      </c>
      <c r="H27" s="63">
        <f t="shared" si="5"/>
        <v>95494.037772118</v>
      </c>
      <c r="I27" s="63">
        <f t="shared" si="3"/>
        <v>400.120018265174</v>
      </c>
    </row>
    <row r="28" ht="15.75" customHeight="1" spans="1:9">
      <c r="A28" s="61">
        <v>48</v>
      </c>
      <c r="B28" s="62">
        <v>0.00597</v>
      </c>
      <c r="C28" s="62">
        <f t="shared" si="0"/>
        <v>0.99403</v>
      </c>
      <c r="D28" s="63">
        <f t="shared" si="4"/>
        <v>93730.414030859</v>
      </c>
      <c r="E28" s="63">
        <f t="shared" si="1"/>
        <v>559.570571764228</v>
      </c>
      <c r="F28" s="62">
        <v>0.00448</v>
      </c>
      <c r="G28" s="62">
        <f t="shared" si="2"/>
        <v>0.99552</v>
      </c>
      <c r="H28" s="63">
        <f t="shared" si="5"/>
        <v>95093.9177538528</v>
      </c>
      <c r="I28" s="63">
        <f t="shared" si="3"/>
        <v>426.020751537261</v>
      </c>
    </row>
    <row r="29" ht="15.75" customHeight="1" spans="1:9">
      <c r="A29" s="61">
        <v>49</v>
      </c>
      <c r="B29" s="62">
        <v>0.00646</v>
      </c>
      <c r="C29" s="62">
        <f t="shared" si="0"/>
        <v>0.99354</v>
      </c>
      <c r="D29" s="63">
        <f t="shared" si="4"/>
        <v>93170.8434590948</v>
      </c>
      <c r="E29" s="63">
        <f t="shared" si="1"/>
        <v>601.883648745752</v>
      </c>
      <c r="F29" s="62">
        <v>0.00479</v>
      </c>
      <c r="G29" s="62">
        <f t="shared" si="2"/>
        <v>0.99521</v>
      </c>
      <c r="H29" s="63">
        <f t="shared" si="5"/>
        <v>94667.8970023155</v>
      </c>
      <c r="I29" s="63">
        <f t="shared" si="3"/>
        <v>453.459226641091</v>
      </c>
    </row>
    <row r="30" ht="15.75" customHeight="1" spans="1:9">
      <c r="A30" s="61">
        <v>50</v>
      </c>
      <c r="B30" s="62">
        <v>0.007</v>
      </c>
      <c r="C30" s="62">
        <f t="shared" si="0"/>
        <v>0.993</v>
      </c>
      <c r="D30" s="63">
        <f t="shared" si="4"/>
        <v>92568.959810349</v>
      </c>
      <c r="E30" s="63">
        <f t="shared" si="1"/>
        <v>647.982718672443</v>
      </c>
      <c r="F30" s="62">
        <v>0.00513</v>
      </c>
      <c r="G30" s="62">
        <f t="shared" si="2"/>
        <v>0.99487</v>
      </c>
      <c r="H30" s="63">
        <f t="shared" si="5"/>
        <v>94214.4377756745</v>
      </c>
      <c r="I30" s="63">
        <f t="shared" si="3"/>
        <v>483.32006578921</v>
      </c>
    </row>
    <row r="32" spans="1:9">
      <c r="A32" s="64" t="s">
        <v>11</v>
      </c>
      <c r="B32" s="64"/>
      <c r="C32" s="64"/>
      <c r="D32" s="64"/>
      <c r="E32" s="64"/>
      <c r="F32" s="64"/>
      <c r="G32" s="64"/>
      <c r="H32" s="64"/>
      <c r="I32" s="64"/>
    </row>
  </sheetData>
  <mergeCells count="3">
    <mergeCell ref="A1:I1"/>
    <mergeCell ref="A2:I2"/>
    <mergeCell ref="A32:I3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showGridLines="0" tabSelected="1" zoomScale="63" zoomScaleNormal="63" topLeftCell="A6" workbookViewId="0">
      <selection activeCell="G7" sqref="G7"/>
    </sheetView>
  </sheetViews>
  <sheetFormatPr defaultColWidth="18.5555555555556" defaultRowHeight="14.4"/>
  <cols>
    <col min="1" max="1" width="35.5555555555556" customWidth="1"/>
    <col min="2" max="16384" width="18.5555555555556" customWidth="1"/>
  </cols>
  <sheetData>
    <row r="1" ht="17.4" spans="1:10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4" t="s">
        <v>13</v>
      </c>
      <c r="B2" s="4"/>
      <c r="C2" s="4"/>
      <c r="D2" s="4"/>
      <c r="E2" s="4"/>
      <c r="F2" s="4"/>
      <c r="G2" s="4"/>
      <c r="H2" s="4"/>
      <c r="I2" s="4"/>
      <c r="J2" s="4"/>
    </row>
    <row r="4" ht="38" customHeight="1" spans="1:10">
      <c r="A4" s="46" t="s">
        <v>14</v>
      </c>
      <c r="B4" s="47"/>
      <c r="C4" s="48"/>
      <c r="D4" s="49"/>
    </row>
    <row r="5" ht="18" customHeight="1" spans="1:10">
      <c r="A5" s="50" t="s">
        <v>15</v>
      </c>
      <c r="B5" s="51">
        <v>30</v>
      </c>
      <c r="C5" s="52" t="s">
        <v>16</v>
      </c>
    </row>
    <row r="6" ht="18" customHeight="1" spans="1:10">
      <c r="A6" s="50" t="s">
        <v>17</v>
      </c>
      <c r="B6" s="51">
        <v>15</v>
      </c>
      <c r="C6" s="52" t="s">
        <v>16</v>
      </c>
    </row>
    <row r="7" ht="18" customHeight="1" spans="1:10">
      <c r="A7" s="50" t="s">
        <v>18</v>
      </c>
      <c r="B7" s="53">
        <v>800000000</v>
      </c>
      <c r="C7" s="52" t="s">
        <v>19</v>
      </c>
    </row>
    <row r="8" ht="18" customHeight="1" spans="1:10">
      <c r="A8" s="54" t="s">
        <v>20</v>
      </c>
      <c r="B8" s="55">
        <v>0.05</v>
      </c>
      <c r="C8" s="52" t="s">
        <v>21</v>
      </c>
    </row>
    <row r="9" ht="18" customHeight="1" spans="1:10">
      <c r="A9" s="50" t="s">
        <v>22</v>
      </c>
      <c r="B9" s="55">
        <v>0.2</v>
      </c>
      <c r="C9" s="52" t="s">
        <v>23</v>
      </c>
    </row>
    <row r="10" ht="18" customHeight="1" spans="1:10">
      <c r="A10" s="50" t="s">
        <v>24</v>
      </c>
      <c r="B10" s="55">
        <v>0.08</v>
      </c>
      <c r="C10" s="52" t="s">
        <v>25</v>
      </c>
    </row>
    <row r="11" ht="18" customHeight="1" spans="1:10">
      <c r="A11" s="50" t="s">
        <v>26</v>
      </c>
      <c r="B11" s="55">
        <v>1</v>
      </c>
      <c r="C11" s="52" t="s">
        <v>27</v>
      </c>
    </row>
    <row r="12" ht="17" customHeight="1"/>
    <row r="13" ht="19.5" customHeight="1" spans="1:10">
      <c r="A13" s="5" t="s">
        <v>28</v>
      </c>
      <c r="B13" s="5"/>
      <c r="C13" s="5"/>
      <c r="D13" s="5"/>
      <c r="E13" s="5"/>
      <c r="F13" s="5"/>
      <c r="G13" s="5"/>
      <c r="H13" s="5"/>
      <c r="I13" s="5"/>
      <c r="J13" s="5"/>
    </row>
    <row r="14" ht="39.75" customHeight="1" spans="1:10">
      <c r="A14" s="20" t="s">
        <v>29</v>
      </c>
      <c r="B14" s="20" t="s">
        <v>30</v>
      </c>
      <c r="C14" s="20" t="s">
        <v>31</v>
      </c>
      <c r="D14" s="20" t="s">
        <v>32</v>
      </c>
      <c r="E14" s="20" t="s">
        <v>33</v>
      </c>
      <c r="F14" s="20" t="s">
        <v>34</v>
      </c>
      <c r="G14" s="20" t="s">
        <v>35</v>
      </c>
      <c r="H14" s="20" t="s">
        <v>36</v>
      </c>
      <c r="I14" s="20" t="s">
        <v>37</v>
      </c>
      <c r="J14" s="20" t="s">
        <v>38</v>
      </c>
    </row>
    <row r="15" ht="16.5" customHeight="1" spans="1:10">
      <c r="A15" s="36">
        <v>1</v>
      </c>
      <c r="B15" s="37">
        <f t="shared" ref="B15:B29" si="0">$B$5+A15-1</f>
        <v>30</v>
      </c>
      <c r="C15" s="41">
        <f>INDEX('1_Mortality_Table'!$B$5:$B$30,MATCH(B15,'1_Mortality_Table'!$A$5:$A$30,0))*$B$11</f>
        <v>0.00175</v>
      </c>
      <c r="D15" s="41">
        <f t="shared" ref="D15:D29" si="1">1-C15</f>
        <v>0.99825</v>
      </c>
      <c r="E15" s="41">
        <f>D15</f>
        <v>0.99825</v>
      </c>
      <c r="F15" s="41">
        <f>E15*(1-$B$9)</f>
        <v>0.7986</v>
      </c>
      <c r="G15" s="41">
        <f t="shared" ref="G15:G29" si="2">1/(1+$B$8)^A15</f>
        <v>0.952380952380952</v>
      </c>
      <c r="H15" s="41">
        <f t="shared" ref="H15:H29" si="3">E15*G15</f>
        <v>0.950714285714286</v>
      </c>
      <c r="I15" s="41">
        <f t="shared" ref="I15:I29" si="4">F15*G15</f>
        <v>0.760571428571428</v>
      </c>
      <c r="J15" s="56" t="s">
        <v>39</v>
      </c>
    </row>
    <row r="16" ht="16.5" customHeight="1" spans="1:10">
      <c r="A16" s="36">
        <v>2</v>
      </c>
      <c r="B16" s="37">
        <f t="shared" si="0"/>
        <v>31</v>
      </c>
      <c r="C16" s="41">
        <f>INDEX('1_Mortality_Table'!$B$5:$B$30,MATCH(B16,'1_Mortality_Table'!$A$5:$A$30,0))*$B$11</f>
        <v>0.0018</v>
      </c>
      <c r="D16" s="41">
        <f t="shared" si="1"/>
        <v>0.9982</v>
      </c>
      <c r="E16" s="41">
        <f t="shared" ref="E16:E29" si="5">E15*D16</f>
        <v>0.99645315</v>
      </c>
      <c r="F16" s="41">
        <f t="shared" ref="F16:F29" si="6">F15*D16*(1-$B$10)</f>
        <v>0.7333895184</v>
      </c>
      <c r="G16" s="41">
        <f t="shared" si="2"/>
        <v>0.90702947845805</v>
      </c>
      <c r="H16" s="41">
        <f t="shared" si="3"/>
        <v>0.903812380952381</v>
      </c>
      <c r="I16" s="41">
        <f t="shared" si="4"/>
        <v>0.665205912380952</v>
      </c>
      <c r="J16" s="56" t="s">
        <v>39</v>
      </c>
    </row>
    <row r="17" ht="16.5" customHeight="1" spans="1:10">
      <c r="A17" s="36">
        <v>3</v>
      </c>
      <c r="B17" s="37">
        <f t="shared" si="0"/>
        <v>32</v>
      </c>
      <c r="C17" s="41">
        <f>INDEX('1_Mortality_Table'!$B$5:$B$30,MATCH(B17,'1_Mortality_Table'!$A$5:$A$30,0))*$B$11</f>
        <v>0.00187</v>
      </c>
      <c r="D17" s="41">
        <f t="shared" si="1"/>
        <v>0.99813</v>
      </c>
      <c r="E17" s="41">
        <f t="shared" si="5"/>
        <v>0.9945897826095</v>
      </c>
      <c r="F17" s="41">
        <f t="shared" si="6"/>
        <v>0.673456633600545</v>
      </c>
      <c r="G17" s="41">
        <f t="shared" si="2"/>
        <v>0.863837598531476</v>
      </c>
      <c r="H17" s="41">
        <f t="shared" si="3"/>
        <v>0.859164049333333</v>
      </c>
      <c r="I17" s="41">
        <f t="shared" si="4"/>
        <v>0.581757161084587</v>
      </c>
      <c r="J17" s="56" t="s">
        <v>39</v>
      </c>
    </row>
    <row r="18" ht="16.5" customHeight="1" spans="1:10">
      <c r="A18" s="36">
        <v>4</v>
      </c>
      <c r="B18" s="37">
        <f t="shared" si="0"/>
        <v>33</v>
      </c>
      <c r="C18" s="41">
        <f>INDEX('1_Mortality_Table'!$B$5:$B$30,MATCH(B18,'1_Mortality_Table'!$A$5:$A$30,0))*$B$11</f>
        <v>0.00195</v>
      </c>
      <c r="D18" s="41">
        <f t="shared" si="1"/>
        <v>0.99805</v>
      </c>
      <c r="E18" s="41">
        <f t="shared" si="5"/>
        <v>0.992650332533411</v>
      </c>
      <c r="F18" s="41">
        <f t="shared" si="6"/>
        <v>0.618371921711822</v>
      </c>
      <c r="G18" s="41">
        <f t="shared" si="2"/>
        <v>0.822702474791882</v>
      </c>
      <c r="H18" s="41">
        <f t="shared" si="3"/>
        <v>0.816655885178222</v>
      </c>
      <c r="I18" s="41">
        <f t="shared" si="4"/>
        <v>0.508736110334128</v>
      </c>
      <c r="J18" s="56" t="s">
        <v>39</v>
      </c>
    </row>
    <row r="19" ht="16.5" customHeight="1" spans="1:10">
      <c r="A19" s="36">
        <v>5</v>
      </c>
      <c r="B19" s="37">
        <f t="shared" si="0"/>
        <v>34</v>
      </c>
      <c r="C19" s="41">
        <f>INDEX('1_Mortality_Table'!$B$5:$B$30,MATCH(B19,'1_Mortality_Table'!$A$5:$A$30,0))*$B$11</f>
        <v>0.00205</v>
      </c>
      <c r="D19" s="41">
        <f t="shared" si="1"/>
        <v>0.99795</v>
      </c>
      <c r="E19" s="41">
        <f t="shared" si="5"/>
        <v>0.990615399351718</v>
      </c>
      <c r="F19" s="41">
        <f t="shared" si="6"/>
        <v>0.567735918530528</v>
      </c>
      <c r="G19" s="41">
        <f t="shared" si="2"/>
        <v>0.783526166468459</v>
      </c>
      <c r="H19" s="41">
        <f t="shared" si="3"/>
        <v>0.776173086298673</v>
      </c>
      <c r="I19" s="41">
        <f t="shared" si="4"/>
        <v>0.444835947812673</v>
      </c>
      <c r="J19" s="56" t="s">
        <v>39</v>
      </c>
    </row>
    <row r="20" ht="16.5" customHeight="1" spans="1:10">
      <c r="A20" s="36">
        <v>6</v>
      </c>
      <c r="B20" s="37">
        <f t="shared" si="0"/>
        <v>35</v>
      </c>
      <c r="C20" s="41">
        <f>INDEX('1_Mortality_Table'!$B$5:$B$30,MATCH(B20,'1_Mortality_Table'!$A$5:$A$30,0))*$B$11</f>
        <v>0.00217</v>
      </c>
      <c r="D20" s="41">
        <f t="shared" si="1"/>
        <v>0.99783</v>
      </c>
      <c r="E20" s="41">
        <f t="shared" si="5"/>
        <v>0.988465763935125</v>
      </c>
      <c r="F20" s="41">
        <f t="shared" si="6"/>
        <v>0.521183617060331</v>
      </c>
      <c r="G20" s="41">
        <f t="shared" si="2"/>
        <v>0.746215396636627</v>
      </c>
      <c r="H20" s="41">
        <f t="shared" si="3"/>
        <v>0.737608372096576</v>
      </c>
      <c r="I20" s="41">
        <f t="shared" si="4"/>
        <v>0.388915239525187</v>
      </c>
      <c r="J20" s="56" t="s">
        <v>39</v>
      </c>
    </row>
    <row r="21" ht="16.5" customHeight="1" spans="1:10">
      <c r="A21" s="36">
        <v>7</v>
      </c>
      <c r="B21" s="37">
        <f t="shared" si="0"/>
        <v>36</v>
      </c>
      <c r="C21" s="41">
        <f>INDEX('1_Mortality_Table'!$B$5:$B$30,MATCH(B21,'1_Mortality_Table'!$A$5:$A$30,0))*$B$11</f>
        <v>0.00232</v>
      </c>
      <c r="D21" s="41">
        <f t="shared" si="1"/>
        <v>0.99768</v>
      </c>
      <c r="E21" s="41">
        <f t="shared" si="5"/>
        <v>0.986172523362795</v>
      </c>
      <c r="F21" s="41">
        <f t="shared" si="6"/>
        <v>0.478376513383251</v>
      </c>
      <c r="G21" s="41">
        <f t="shared" si="2"/>
        <v>0.710681330130121</v>
      </c>
      <c r="H21" s="41">
        <f t="shared" si="3"/>
        <v>0.700854400641249</v>
      </c>
      <c r="I21" s="41">
        <f t="shared" si="4"/>
        <v>0.339973256834219</v>
      </c>
      <c r="J21" s="56" t="s">
        <v>39</v>
      </c>
    </row>
    <row r="22" ht="16.5" customHeight="1" spans="1:10">
      <c r="A22" s="36">
        <v>8</v>
      </c>
      <c r="B22" s="37">
        <f t="shared" si="0"/>
        <v>37</v>
      </c>
      <c r="C22" s="41">
        <f>INDEX('1_Mortality_Table'!$B$5:$B$30,MATCH(B22,'1_Mortality_Table'!$A$5:$A$30,0))*$B$11</f>
        <v>0.00249</v>
      </c>
      <c r="D22" s="41">
        <f t="shared" si="1"/>
        <v>0.99751</v>
      </c>
      <c r="E22" s="41">
        <f t="shared" si="5"/>
        <v>0.983716953779622</v>
      </c>
      <c r="F22" s="41">
        <f t="shared" si="6"/>
        <v>0.439010527395733</v>
      </c>
      <c r="G22" s="41">
        <f t="shared" si="2"/>
        <v>0.676839362028687</v>
      </c>
      <c r="H22" s="41">
        <f t="shared" si="3"/>
        <v>0.665818355413003</v>
      </c>
      <c r="I22" s="41">
        <f t="shared" si="4"/>
        <v>0.297139605286405</v>
      </c>
      <c r="J22" s="56" t="s">
        <v>39</v>
      </c>
    </row>
    <row r="23" ht="16.5" customHeight="1" spans="1:10">
      <c r="A23" s="36">
        <v>9</v>
      </c>
      <c r="B23" s="37">
        <f t="shared" si="0"/>
        <v>38</v>
      </c>
      <c r="C23" s="41">
        <f>INDEX('1_Mortality_Table'!$B$5:$B$30,MATCH(B23,'1_Mortality_Table'!$A$5:$A$30,0))*$B$11</f>
        <v>0.00268</v>
      </c>
      <c r="D23" s="41">
        <f t="shared" si="1"/>
        <v>0.99732</v>
      </c>
      <c r="E23" s="41">
        <f t="shared" si="5"/>
        <v>0.981080592343492</v>
      </c>
      <c r="F23" s="41">
        <f t="shared" si="6"/>
        <v>0.402807260847727</v>
      </c>
      <c r="G23" s="41">
        <f t="shared" si="2"/>
        <v>0.644608916217797</v>
      </c>
      <c r="H23" s="41">
        <f t="shared" si="3"/>
        <v>0.632413297352853</v>
      </c>
      <c r="I23" s="41">
        <f t="shared" si="4"/>
        <v>0.259653151859713</v>
      </c>
      <c r="J23" s="56" t="s">
        <v>39</v>
      </c>
    </row>
    <row r="24" ht="16.5" customHeight="1" spans="1:10">
      <c r="A24" s="36">
        <v>10</v>
      </c>
      <c r="B24" s="37">
        <f t="shared" si="0"/>
        <v>39</v>
      </c>
      <c r="C24" s="41">
        <f>INDEX('1_Mortality_Table'!$B$5:$B$30,MATCH(B24,'1_Mortality_Table'!$A$5:$A$30,0))*$B$11</f>
        <v>0.0029</v>
      </c>
      <c r="D24" s="41">
        <f t="shared" si="1"/>
        <v>0.9971</v>
      </c>
      <c r="E24" s="41">
        <f t="shared" si="5"/>
        <v>0.978235458625696</v>
      </c>
      <c r="F24" s="41">
        <f t="shared" si="6"/>
        <v>0.369507990207967</v>
      </c>
      <c r="G24" s="41">
        <f t="shared" si="2"/>
        <v>0.613913253540759</v>
      </c>
      <c r="H24" s="41">
        <f t="shared" si="3"/>
        <v>0.600551713133838</v>
      </c>
      <c r="I24" s="41">
        <f t="shared" si="4"/>
        <v>0.22684585247788</v>
      </c>
      <c r="J24" s="56" t="s">
        <v>39</v>
      </c>
    </row>
    <row r="25" ht="16.5" customHeight="1" spans="1:10">
      <c r="A25" s="36">
        <v>11</v>
      </c>
      <c r="B25" s="37">
        <f t="shared" si="0"/>
        <v>40</v>
      </c>
      <c r="C25" s="41">
        <f>INDEX('1_Mortality_Table'!$B$5:$B$30,MATCH(B25,'1_Mortality_Table'!$A$5:$A$30,0))*$B$11</f>
        <v>0.00315</v>
      </c>
      <c r="D25" s="41">
        <f t="shared" si="1"/>
        <v>0.99685</v>
      </c>
      <c r="E25" s="41">
        <f t="shared" si="5"/>
        <v>0.975154016931025</v>
      </c>
      <c r="F25" s="41">
        <f t="shared" si="6"/>
        <v>0.338876516835707</v>
      </c>
      <c r="G25" s="41">
        <f t="shared" si="2"/>
        <v>0.584679289086437</v>
      </c>
      <c r="H25" s="41">
        <f t="shared" si="3"/>
        <v>0.570152357369015</v>
      </c>
      <c r="I25" s="41">
        <f t="shared" si="4"/>
        <v>0.198134080951589</v>
      </c>
      <c r="J25" s="56" t="s">
        <v>39</v>
      </c>
    </row>
    <row r="26" ht="16.5" customHeight="1" spans="1:10">
      <c r="A26" s="36">
        <v>12</v>
      </c>
      <c r="B26" s="37">
        <f t="shared" si="0"/>
        <v>41</v>
      </c>
      <c r="C26" s="41">
        <f>INDEX('1_Mortality_Table'!$B$5:$B$30,MATCH(B26,'1_Mortality_Table'!$A$5:$A$30,0))*$B$11</f>
        <v>0.00342</v>
      </c>
      <c r="D26" s="41">
        <f t="shared" si="1"/>
        <v>0.99658</v>
      </c>
      <c r="E26" s="41">
        <f t="shared" si="5"/>
        <v>0.971818990193121</v>
      </c>
      <c r="F26" s="41">
        <f t="shared" si="6"/>
        <v>0.310700154416279</v>
      </c>
      <c r="G26" s="41">
        <f t="shared" si="2"/>
        <v>0.556837418177559</v>
      </c>
      <c r="H26" s="41">
        <f t="shared" si="3"/>
        <v>0.54114517743506</v>
      </c>
      <c r="I26" s="41">
        <f t="shared" si="4"/>
        <v>0.17300947181253</v>
      </c>
      <c r="J26" s="56" t="s">
        <v>39</v>
      </c>
    </row>
    <row r="27" ht="16.5" customHeight="1" spans="1:10">
      <c r="A27" s="36">
        <v>13</v>
      </c>
      <c r="B27" s="37">
        <f t="shared" si="0"/>
        <v>42</v>
      </c>
      <c r="C27" s="41">
        <f>INDEX('1_Mortality_Table'!$B$5:$B$30,MATCH(B27,'1_Mortality_Table'!$A$5:$A$30,0))*$B$11</f>
        <v>0.00371</v>
      </c>
      <c r="D27" s="41">
        <f t="shared" si="1"/>
        <v>0.99629</v>
      </c>
      <c r="E27" s="41">
        <f t="shared" si="5"/>
        <v>0.968213541739505</v>
      </c>
      <c r="F27" s="41">
        <f t="shared" si="6"/>
        <v>0.284783660295923</v>
      </c>
      <c r="G27" s="41">
        <f t="shared" si="2"/>
        <v>0.530321350645295</v>
      </c>
      <c r="H27" s="41">
        <f t="shared" si="3"/>
        <v>0.513464313168358</v>
      </c>
      <c r="I27" s="41">
        <f t="shared" si="4"/>
        <v>0.151026855369845</v>
      </c>
      <c r="J27" s="56" t="s">
        <v>39</v>
      </c>
    </row>
    <row r="28" ht="16.5" customHeight="1" spans="1:10">
      <c r="A28" s="36">
        <v>14</v>
      </c>
      <c r="B28" s="37">
        <f t="shared" si="0"/>
        <v>43</v>
      </c>
      <c r="C28" s="41">
        <f>INDEX('1_Mortality_Table'!$B$5:$B$30,MATCH(B28,'1_Mortality_Table'!$A$5:$A$30,0))*$B$11</f>
        <v>0.00403</v>
      </c>
      <c r="D28" s="41">
        <f t="shared" si="1"/>
        <v>0.99597</v>
      </c>
      <c r="E28" s="41">
        <f t="shared" si="5"/>
        <v>0.964311641166295</v>
      </c>
      <c r="F28" s="41">
        <f t="shared" si="6"/>
        <v>0.260945103573336</v>
      </c>
      <c r="G28" s="41">
        <f t="shared" si="2"/>
        <v>0.505067952995519</v>
      </c>
      <c r="H28" s="41">
        <f t="shared" si="3"/>
        <v>0.487042906653609</v>
      </c>
      <c r="I28" s="41">
        <f t="shared" si="4"/>
        <v>0.131795009305988</v>
      </c>
      <c r="J28" s="56" t="s">
        <v>39</v>
      </c>
    </row>
    <row r="29" ht="16.5" customHeight="1" spans="1:10">
      <c r="A29" s="36">
        <v>15</v>
      </c>
      <c r="B29" s="37">
        <f t="shared" si="0"/>
        <v>44</v>
      </c>
      <c r="C29" s="41">
        <f>INDEX('1_Mortality_Table'!$B$5:$B$30,MATCH(B29,'1_Mortality_Table'!$A$5:$A$30,0))*$B$11</f>
        <v>0.00437</v>
      </c>
      <c r="D29" s="41">
        <f t="shared" si="1"/>
        <v>0.99563</v>
      </c>
      <c r="E29" s="41">
        <f t="shared" si="5"/>
        <v>0.960097599294398</v>
      </c>
      <c r="F29" s="41">
        <f t="shared" si="6"/>
        <v>0.239020391593063</v>
      </c>
      <c r="G29" s="41">
        <f t="shared" si="2"/>
        <v>0.48101709809097</v>
      </c>
      <c r="H29" s="41">
        <f t="shared" si="3"/>
        <v>0.461823361096698</v>
      </c>
      <c r="I29" s="41">
        <f t="shared" si="4"/>
        <v>0.114972895148662</v>
      </c>
      <c r="J29" s="56" t="s">
        <v>39</v>
      </c>
    </row>
    <row r="31" ht="7.5" customHeight="1"/>
    <row r="32" ht="19.5" customHeight="1" spans="1:10">
      <c r="A32" s="57" t="s">
        <v>40</v>
      </c>
      <c r="B32" s="58"/>
      <c r="C32" s="58"/>
      <c r="D32" s="59"/>
      <c r="E32" s="59"/>
      <c r="F32" s="59"/>
    </row>
    <row r="33" ht="19.5" customHeight="1" spans="1:4">
      <c r="A33" s="50" t="s">
        <v>41</v>
      </c>
      <c r="B33" s="42">
        <f>SUM(H15:H29)</f>
        <v>10.2173939418372</v>
      </c>
      <c r="C33" s="52" t="s">
        <v>42</v>
      </c>
    </row>
    <row r="34" ht="19.5" customHeight="1" spans="1:4">
      <c r="A34" s="50" t="s">
        <v>43</v>
      </c>
      <c r="B34" s="42">
        <f>SUM(I15:I29)</f>
        <v>5.24257197875579</v>
      </c>
      <c r="C34" s="52" t="s">
        <v>42</v>
      </c>
    </row>
    <row r="35" ht="19.5" customHeight="1" spans="1:4">
      <c r="A35" s="50" t="s">
        <v>44</v>
      </c>
      <c r="B35" s="41">
        <f>E29</f>
        <v>0.960097599294398</v>
      </c>
      <c r="C35" s="52" t="s">
        <v>45</v>
      </c>
    </row>
    <row r="36" ht="19.5" customHeight="1" spans="1:4">
      <c r="A36" s="7" t="s">
        <v>46</v>
      </c>
      <c r="B36" s="43">
        <f>$B$7*E29*G29</f>
        <v>369458688.877358</v>
      </c>
      <c r="C36" s="52" t="s">
        <v>19</v>
      </c>
    </row>
    <row r="37" ht="19.5" customHeight="1" spans="1:4">
      <c r="A37" s="7" t="s">
        <v>47</v>
      </c>
      <c r="B37" s="43">
        <v>36284823</v>
      </c>
      <c r="C37" s="52" t="s">
        <v>48</v>
      </c>
      <c r="D37" s="60" t="s">
        <v>49</v>
      </c>
    </row>
    <row r="38" ht="19.5" customHeight="1" spans="1:4">
      <c r="A38" s="7" t="s">
        <v>50</v>
      </c>
      <c r="B38" s="43">
        <f>B36/B34</f>
        <v>70472792.8151483</v>
      </c>
      <c r="C38" s="52" t="s">
        <v>48</v>
      </c>
    </row>
    <row r="39" ht="19.5" customHeight="1" spans="1:4">
      <c r="A39" s="50" t="s">
        <v>51</v>
      </c>
      <c r="B39" s="44">
        <f>B38/300000000</f>
        <v>0.234909309383828</v>
      </c>
      <c r="C39" s="52" t="s">
        <v>52</v>
      </c>
    </row>
  </sheetData>
  <mergeCells count="5">
    <mergeCell ref="A1:J1"/>
    <mergeCell ref="A2:J2"/>
    <mergeCell ref="A4:C4"/>
    <mergeCell ref="A13:J13"/>
    <mergeCell ref="A32:C3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showGridLines="0" zoomScale="67" zoomScaleNormal="67" workbookViewId="0">
      <selection activeCell="G7" sqref="G7"/>
    </sheetView>
  </sheetViews>
  <sheetFormatPr defaultColWidth="8.67592592592593" defaultRowHeight="14.4"/>
  <cols>
    <col min="1" max="1" width="18" customWidth="1"/>
    <col min="2" max="3" width="14" customWidth="1"/>
    <col min="4" max="5" width="16" customWidth="1"/>
    <col min="6" max="6" width="19.4444444444444" customWidth="1"/>
    <col min="7" max="7" width="22" customWidth="1"/>
    <col min="10" max="10" width="8.77777777777778" customWidth="1"/>
  </cols>
  <sheetData>
    <row r="1" ht="17.4" spans="1:10">
      <c r="A1" s="3" t="s">
        <v>53</v>
      </c>
      <c r="B1" s="3"/>
      <c r="C1" s="3"/>
      <c r="D1" s="3"/>
      <c r="E1" s="3"/>
      <c r="F1" s="3"/>
      <c r="G1" s="3"/>
    </row>
    <row r="2" spans="1:10">
      <c r="A2" s="4" t="s">
        <v>54</v>
      </c>
      <c r="B2" s="4"/>
      <c r="C2" s="4"/>
      <c r="D2" s="4"/>
      <c r="E2" s="4"/>
      <c r="F2" s="4"/>
      <c r="G2" s="4"/>
    </row>
    <row r="4" ht="19.5" customHeight="1" spans="1:10">
      <c r="A4" s="5" t="s">
        <v>55</v>
      </c>
      <c r="B4" s="5"/>
      <c r="C4" s="5"/>
      <c r="D4" s="5"/>
      <c r="E4" s="5"/>
      <c r="F4" s="5"/>
      <c r="G4" s="5"/>
    </row>
    <row r="5" ht="39.75" customHeight="1" spans="1:10">
      <c r="A5" s="20" t="s">
        <v>56</v>
      </c>
      <c r="B5" s="20" t="s">
        <v>57</v>
      </c>
      <c r="C5" s="20" t="s">
        <v>58</v>
      </c>
      <c r="D5" s="20" t="s">
        <v>59</v>
      </c>
      <c r="E5" s="20" t="s">
        <v>60</v>
      </c>
      <c r="F5" s="20" t="s">
        <v>61</v>
      </c>
      <c r="G5" s="20" t="s">
        <v>62</v>
      </c>
    </row>
    <row r="6" ht="16.5" customHeight="1" spans="1:10">
      <c r="A6" s="36">
        <v>0</v>
      </c>
      <c r="B6" s="37">
        <f>'2_Pricing_Engine'!$B$5+0</f>
        <v>30</v>
      </c>
      <c r="C6" s="38" t="s">
        <v>63</v>
      </c>
      <c r="D6" s="38" t="s">
        <v>63</v>
      </c>
      <c r="E6" s="38" t="s">
        <v>63</v>
      </c>
      <c r="F6" s="39">
        <v>0</v>
      </c>
      <c r="G6" s="40" t="s">
        <v>64</v>
      </c>
    </row>
    <row r="7" ht="16.5" customHeight="1" spans="1:10">
      <c r="A7" s="36">
        <v>1</v>
      </c>
      <c r="B7" s="37">
        <f>'2_Pricing_Engine'!$B$5+1</f>
        <v>31</v>
      </c>
      <c r="C7" s="41">
        <f>'2_Pricing_Engine'!E15</f>
        <v>0.99825</v>
      </c>
      <c r="D7" s="42">
        <f>'2_Pricing_Engine'!$B$7*('2_Pricing_Engine'!E29/'2_Pricing_Engine'!E15)*(1+'2_Pricing_Engine'!$B$8)^(-14)</f>
        <v>388611693.785351</v>
      </c>
      <c r="E7" s="42">
        <f>'2_Pricing_Engine'!$B$37*('2_Pricing_Engine'!$B$32-SUM('2_Pricing_Engine'!H15:H15))/'2_Pricing_Engine'!E15</f>
        <v>-34556974.2857143</v>
      </c>
      <c r="F7" s="43">
        <f>((F6+'2_Pricing_Engine'!$B$37)*1.05-800000000*'1_Mortality_Table'!B10)/'1_Mortality_Table'!C10</f>
        <v>36763400.1001753</v>
      </c>
      <c r="G7" s="44">
        <f>F7/'2_Pricing_Engine'!$B$7</f>
        <v>0.0459542501252191</v>
      </c>
    </row>
    <row r="8" ht="16.5" customHeight="1" spans="1:10">
      <c r="A8" s="36">
        <v>2</v>
      </c>
      <c r="B8" s="37">
        <f>'2_Pricing_Engine'!$B$5+2</f>
        <v>32</v>
      </c>
      <c r="C8" s="41">
        <f>'2_Pricing_Engine'!E16</f>
        <v>0.99645315</v>
      </c>
      <c r="D8" s="42">
        <f>'2_Pricing_Engine'!$B$7*('2_Pricing_Engine'!E29/'2_Pricing_Engine'!E16)*(1+'2_Pricing_Engine'!$B$8)^(-13)</f>
        <v>408778079.016849</v>
      </c>
      <c r="E8" s="42">
        <f>'2_Pricing_Engine'!$B$37*('2_Pricing_Engine'!$B$32-SUM('2_Pricing_Engine'!H15:H16))/'2_Pricing_Engine'!E16</f>
        <v>-67530693.0875576</v>
      </c>
      <c r="F8" s="43">
        <f>((F7+'2_Pricing_Engine'!$B$37)*1.05-800000000*'1_Mortality_Table'!B11)/'1_Mortality_Table'!C11</f>
        <v>75396347.6810099</v>
      </c>
      <c r="G8" s="44">
        <f>F8/'2_Pricing_Engine'!$B$7</f>
        <v>0.0942454346012624</v>
      </c>
    </row>
    <row r="9" ht="16.5" customHeight="1" spans="1:10">
      <c r="A9" s="36">
        <v>3</v>
      </c>
      <c r="B9" s="37">
        <f>'2_Pricing_Engine'!$B$5+3</f>
        <v>33</v>
      </c>
      <c r="C9" s="41">
        <f>'2_Pricing_Engine'!E17</f>
        <v>0.9945897826095</v>
      </c>
      <c r="D9" s="42">
        <f>'2_Pricing_Engine'!$B$7*('2_Pricing_Engine'!E29/'2_Pricing_Engine'!E17)*(1+'2_Pricing_Engine'!$B$8)^(-12)</f>
        <v>430021122.466704</v>
      </c>
      <c r="E9" s="42">
        <f>'2_Pricing_Engine'!$B$37*('2_Pricing_Engine'!$B$32-SUM('2_Pricing_Engine'!H15:H17))/'2_Pricing_Engine'!E17</f>
        <v>-99001406.4375959</v>
      </c>
      <c r="F9" s="43">
        <f>((F8+'2_Pricing_Engine'!$B$37)*1.05-800000000*'1_Mortality_Table'!B12)/'1_Mortality_Table'!C12</f>
        <v>115986123.265567</v>
      </c>
      <c r="G9" s="44">
        <f>F9/'2_Pricing_Engine'!$B$7</f>
        <v>0.144982654081959</v>
      </c>
    </row>
    <row r="10" ht="16.5" customHeight="1" spans="1:10">
      <c r="A10" s="36">
        <v>4</v>
      </c>
      <c r="B10" s="37">
        <f>'2_Pricing_Engine'!$B$5+4</f>
        <v>34</v>
      </c>
      <c r="C10" s="41">
        <f>'2_Pricing_Engine'!E18</f>
        <v>0.992650332533411</v>
      </c>
      <c r="D10" s="42">
        <f>'2_Pricing_Engine'!$B$7*('2_Pricing_Engine'!E29/'2_Pricing_Engine'!E18)*(1+'2_Pricing_Engine'!$B$8)^(-11)</f>
        <v>452404367.105896</v>
      </c>
      <c r="E10" s="42">
        <f>'2_Pricing_Engine'!$B$37*('2_Pricing_Engine'!$B$32-SUM('2_Pricing_Engine'!H15:H18))/'2_Pricing_Engine'!E18</f>
        <v>-129046450.048</v>
      </c>
      <c r="F10" s="43">
        <f>((F9+'2_Pricing_Engine'!$B$37)*1.05-800000000*'1_Mortality_Table'!B13)/'1_Mortality_Table'!C13</f>
        <v>158633829.546461</v>
      </c>
      <c r="G10" s="44">
        <f>F10/'2_Pricing_Engine'!$B$7</f>
        <v>0.198292286933076</v>
      </c>
    </row>
    <row r="11" ht="16.5" customHeight="1" spans="1:10">
      <c r="A11" s="36">
        <v>5</v>
      </c>
      <c r="B11" s="37">
        <f>'2_Pricing_Engine'!$B$5+5</f>
        <v>35</v>
      </c>
      <c r="C11" s="41">
        <f>'2_Pricing_Engine'!E19</f>
        <v>0.990615399351718</v>
      </c>
      <c r="D11" s="42">
        <f>'2_Pricing_Engine'!$B$7*('2_Pricing_Engine'!E29/'2_Pricing_Engine'!E19)*(1+'2_Pricing_Engine'!$B$8)^(-10)</f>
        <v>476000386.253009</v>
      </c>
      <c r="E11" s="42">
        <f>'2_Pricing_Engine'!$B$37*('2_Pricing_Engine'!$B$32-SUM('2_Pricing_Engine'!H15:H19))/'2_Pricing_Engine'!E19</f>
        <v>-157741646.968516</v>
      </c>
      <c r="F11" s="43">
        <f>((F10+'2_Pricing_Engine'!$B$37)*1.05-800000000*'1_Mortality_Table'!B14)/'1_Mortality_Table'!C14</f>
        <v>203441640.536885</v>
      </c>
      <c r="G11" s="44">
        <f>F11/'2_Pricing_Engine'!$B$7</f>
        <v>0.254302050671106</v>
      </c>
    </row>
    <row r="12" ht="16.5" customHeight="1" spans="1:10">
      <c r="A12" s="36">
        <v>6</v>
      </c>
      <c r="B12" s="37">
        <f>'2_Pricing_Engine'!$B$5+6</f>
        <v>36</v>
      </c>
      <c r="C12" s="41">
        <f>'2_Pricing_Engine'!E20</f>
        <v>0.988465763935125</v>
      </c>
      <c r="D12" s="42">
        <f>'2_Pricing_Engine'!$B$7*('2_Pricing_Engine'!E29/'2_Pricing_Engine'!E20)*(1+'2_Pricing_Engine'!$B$8)^(-9)</f>
        <v>500887331.074091</v>
      </c>
      <c r="E12" s="42">
        <f>'2_Pricing_Engine'!$B$37*('2_Pricing_Engine'!$B$32-SUM('2_Pricing_Engine'!H15:H20))/'2_Pricing_Engine'!E20</f>
        <v>-185160984.334273</v>
      </c>
      <c r="F12" s="43">
        <f>((F11+'2_Pricing_Engine'!$B$37)*1.05-800000000*'1_Mortality_Table'!B15)/'1_Mortality_Table'!C15</f>
        <v>250520416.016485</v>
      </c>
      <c r="G12" s="44">
        <f>F12/'2_Pricing_Engine'!$B$7</f>
        <v>0.313150520020606</v>
      </c>
      <c r="J12" s="1"/>
    </row>
    <row r="13" ht="16.5" customHeight="1" spans="1:10">
      <c r="A13" s="36">
        <v>7</v>
      </c>
      <c r="B13" s="37">
        <f>'2_Pricing_Engine'!$B$5+7</f>
        <v>37</v>
      </c>
      <c r="C13" s="41">
        <f>'2_Pricing_Engine'!E21</f>
        <v>0.986172523362795</v>
      </c>
      <c r="D13" s="42">
        <f>'2_Pricing_Engine'!$B$7*('2_Pricing_Engine'!E29/'2_Pricing_Engine'!E21)*(1+'2_Pricing_Engine'!$B$8)^(-8)</f>
        <v>527154696.52373</v>
      </c>
      <c r="E13" s="42">
        <f>'2_Pricing_Engine'!$B$37*('2_Pricing_Engine'!$B$32-SUM('2_Pricing_Engine'!H15:H21))/'2_Pricing_Engine'!E21</f>
        <v>-211378503.0191</v>
      </c>
      <c r="F13" s="43">
        <f>((F12+'2_Pricing_Engine'!$B$37)*1.05-800000000*'1_Mortality_Table'!B16)/'1_Mortality_Table'!C16</f>
        <v>299985467.251332</v>
      </c>
      <c r="G13" s="44">
        <f>F13/'2_Pricing_Engine'!$B$7</f>
        <v>0.374981834064165</v>
      </c>
    </row>
    <row r="14" ht="16.5" customHeight="1" spans="1:10">
      <c r="A14" s="36">
        <v>8</v>
      </c>
      <c r="B14" s="37">
        <f>'2_Pricing_Engine'!$B$5+8</f>
        <v>38</v>
      </c>
      <c r="C14" s="41">
        <f>'2_Pricing_Engine'!E22</f>
        <v>0.983716953779622</v>
      </c>
      <c r="D14" s="42">
        <f>'2_Pricing_Engine'!$B$7*('2_Pricing_Engine'!E29/'2_Pricing_Engine'!E22)*(1+'2_Pricing_Engine'!$B$8)^(-7)</f>
        <v>554894117.702997</v>
      </c>
      <c r="E14" s="42">
        <f>'2_Pricing_Engine'!$B$37*('2_Pricing_Engine'!$B$32-SUM('2_Pricing_Engine'!H15:H22))/'2_Pricing_Engine'!E22</f>
        <v>-236465145.781577</v>
      </c>
      <c r="F14" s="43">
        <f>((F13+'2_Pricing_Engine'!$B$37)*1.05-800000000*'1_Mortality_Table'!B17)/'1_Mortality_Table'!C17</f>
        <v>351968205.595832</v>
      </c>
      <c r="G14" s="44">
        <f>F14/'2_Pricing_Engine'!$B$7</f>
        <v>0.43996025699479</v>
      </c>
    </row>
    <row r="15" ht="16.5" customHeight="1" spans="1:10">
      <c r="A15" s="36">
        <v>9</v>
      </c>
      <c r="B15" s="37">
        <f>'2_Pricing_Engine'!$B$5+9</f>
        <v>39</v>
      </c>
      <c r="C15" s="41">
        <f>'2_Pricing_Engine'!E23</f>
        <v>0.981080592343492</v>
      </c>
      <c r="D15" s="42">
        <f>'2_Pricing_Engine'!$B$7*('2_Pricing_Engine'!E29/'2_Pricing_Engine'!E23)*(1+'2_Pricing_Engine'!$B$8)^(-6)</f>
        <v>584204491.625704</v>
      </c>
      <c r="E15" s="42">
        <f>'2_Pricing_Engine'!$B$37*('2_Pricing_Engine'!$B$32-SUM('2_Pricing_Engine'!H15:H23))/'2_Pricing_Engine'!E23</f>
        <v>-260490095.752629</v>
      </c>
      <c r="F15" s="43">
        <f>((F14+'2_Pricing_Engine'!$B$37)*1.05-800000000*'1_Mortality_Table'!B18)/'1_Mortality_Table'!C18</f>
        <v>406611398.573802</v>
      </c>
      <c r="G15" s="44">
        <f>F15/'2_Pricing_Engine'!$B$7</f>
        <v>0.508264248217252</v>
      </c>
    </row>
    <row r="16" ht="16.5" customHeight="1" spans="1:10">
      <c r="A16" s="36">
        <v>10</v>
      </c>
      <c r="B16" s="37">
        <f>'2_Pricing_Engine'!$B$5+10</f>
        <v>40</v>
      </c>
      <c r="C16" s="41">
        <f>'2_Pricing_Engine'!E24</f>
        <v>0.978235458625696</v>
      </c>
      <c r="D16" s="42">
        <f>'2_Pricing_Engine'!$B$7*('2_Pricing_Engine'!E29/'2_Pricing_Engine'!E24)*(1+'2_Pricing_Engine'!$B$8)^(-5)</f>
        <v>615198792.705836</v>
      </c>
      <c r="E16" s="42">
        <f>'2_Pricing_Engine'!$B$37*('2_Pricing_Engine'!$B$32-SUM('2_Pricing_Engine'!H15:H24))/'2_Pricing_Engine'!E24</f>
        <v>-283523447.865668</v>
      </c>
      <c r="F16" s="43">
        <f>((F15+'2_Pricing_Engine'!$B$37)*1.05-800000000*'1_Mortality_Table'!B19)/'1_Mortality_Table'!C19</f>
        <v>464066826.449194</v>
      </c>
      <c r="G16" s="44">
        <f>F16/'2_Pricing_Engine'!$B$7</f>
        <v>0.580083533061493</v>
      </c>
    </row>
    <row r="17" ht="16.5" customHeight="1" spans="1:7">
      <c r="A17" s="36">
        <v>11</v>
      </c>
      <c r="B17" s="37">
        <f>'2_Pricing_Engine'!$B$5+11</f>
        <v>41</v>
      </c>
      <c r="C17" s="41">
        <f>'2_Pricing_Engine'!E25</f>
        <v>0.975154016931025</v>
      </c>
      <c r="D17" s="42">
        <f>'2_Pricing_Engine'!$B$7*('2_Pricing_Engine'!E29/'2_Pricing_Engine'!E25)*(1+'2_Pricing_Engine'!$B$8)^(-4)</f>
        <v>647999932.127329</v>
      </c>
      <c r="E17" s="42">
        <f>'2_Pricing_Engine'!$B$37*('2_Pricing_Engine'!$B$32-SUM('2_Pricing_Engine'!H15:H25))/'2_Pricing_Engine'!E25</f>
        <v>-305634353.3939</v>
      </c>
      <c r="F17" s="43">
        <f>((F16+'2_Pricing_Engine'!$B$37)*1.05-800000000*'1_Mortality_Table'!B20)/'1_Mortality_Table'!C20</f>
        <v>524501411.367462</v>
      </c>
      <c r="G17" s="44">
        <f>F17/'2_Pricing_Engine'!$B$7</f>
        <v>0.655626764209327</v>
      </c>
    </row>
    <row r="18" ht="16.5" customHeight="1" spans="1:7">
      <c r="A18" s="36">
        <v>12</v>
      </c>
      <c r="B18" s="37">
        <f>'2_Pricing_Engine'!$B$5+12</f>
        <v>42</v>
      </c>
      <c r="C18" s="41">
        <f>'2_Pricing_Engine'!E26</f>
        <v>0.971818990193121</v>
      </c>
      <c r="D18" s="42">
        <f>'2_Pricing_Engine'!$B$7*('2_Pricing_Engine'!E29/'2_Pricing_Engine'!E26)*(1+'2_Pricing_Engine'!$B$8)^(-3)</f>
        <v>682734882.030239</v>
      </c>
      <c r="E18" s="42">
        <f>'2_Pricing_Engine'!$B$37*('2_Pricing_Engine'!$B$32-SUM('2_Pricing_Engine'!H15:H26))/'2_Pricing_Engine'!E26</f>
        <v>-326887957.130354</v>
      </c>
      <c r="F18" s="43">
        <f>((F17+'2_Pricing_Engine'!$B$37)*1.05-800000000*'1_Mortality_Table'!B21)/'1_Mortality_Table'!C21</f>
        <v>588100850.996242</v>
      </c>
      <c r="G18" s="44">
        <f>F18/'2_Pricing_Engine'!$B$7</f>
        <v>0.735126063745302</v>
      </c>
    </row>
    <row r="19" ht="16.5" customHeight="1" spans="1:7">
      <c r="A19" s="36">
        <v>13</v>
      </c>
      <c r="B19" s="37">
        <f>'2_Pricing_Engine'!$B$5+13</f>
        <v>43</v>
      </c>
      <c r="C19" s="41">
        <f>'2_Pricing_Engine'!E27</f>
        <v>0.968213541739505</v>
      </c>
      <c r="D19" s="42">
        <f>'2_Pricing_Engine'!$B$7*('2_Pricing_Engine'!E29/'2_Pricing_Engine'!E27)*(1+'2_Pricing_Engine'!$B$8)^(-2)</f>
        <v>719541123.70068</v>
      </c>
      <c r="E19" s="42">
        <f>'2_Pricing_Engine'!$B$37*('2_Pricing_Engine'!$B$32-SUM('2_Pricing_Engine'!H15:H27))/'2_Pricing_Engine'!E27</f>
        <v>-347347843.865755</v>
      </c>
      <c r="F19" s="43">
        <f>((F18+'2_Pricing_Engine'!$B$37)*1.05-800000000*'1_Mortality_Table'!B22)/'1_Mortality_Table'!C22</f>
        <v>655067257.220342</v>
      </c>
      <c r="G19" s="44">
        <f>F19/'2_Pricing_Engine'!$B$7</f>
        <v>0.818834071525427</v>
      </c>
    </row>
    <row r="20" ht="16.5" customHeight="1" spans="1:7">
      <c r="A20" s="36">
        <v>14</v>
      </c>
      <c r="B20" s="37">
        <f>'2_Pricing_Engine'!$B$5+14</f>
        <v>44</v>
      </c>
      <c r="C20" s="41">
        <f>'2_Pricing_Engine'!E28</f>
        <v>0.964311641166295</v>
      </c>
      <c r="D20" s="42">
        <f>'2_Pricing_Engine'!$B$7*('2_Pricing_Engine'!E29/'2_Pricing_Engine'!E28)*(1+'2_Pricing_Engine'!$B$8)^(-1)</f>
        <v>758575238.095238</v>
      </c>
      <c r="E20" s="42">
        <f>'2_Pricing_Engine'!$B$37*('2_Pricing_Engine'!$B$32-SUM('2_Pricing_Engine'!H15:H28))/'2_Pricing_Engine'!E28</f>
        <v>-367079621.021739</v>
      </c>
      <c r="F20" s="43">
        <f>((F19+'2_Pricing_Engine'!$B$37)*1.05-800000000*'1_Mortality_Table'!B23)/'1_Mortality_Table'!C23</f>
        <v>725619932.559574</v>
      </c>
      <c r="G20" s="44">
        <f>F20/'2_Pricing_Engine'!$B$7</f>
        <v>0.907024915699467</v>
      </c>
    </row>
    <row r="21" ht="16.5" customHeight="1" spans="1:7">
      <c r="A21" s="36">
        <v>15</v>
      </c>
      <c r="B21" s="37">
        <f>'2_Pricing_Engine'!$B$5+15</f>
        <v>45</v>
      </c>
      <c r="C21" s="41">
        <f>'2_Pricing_Engine'!E29</f>
        <v>0.960097599294398</v>
      </c>
      <c r="D21" s="42">
        <f>'2_Pricing_Engine'!$B$7*('2_Pricing_Engine'!E29/'2_Pricing_Engine'!E29)*(1+'2_Pricing_Engine'!$B$8)^(0)</f>
        <v>800000000</v>
      </c>
      <c r="E21" s="42">
        <f>'2_Pricing_Engine'!$B$37*('2_Pricing_Engine'!$B$32-SUM('2_Pricing_Engine'!H15:H29))/'2_Pricing_Engine'!E29</f>
        <v>-386144420.081144</v>
      </c>
      <c r="F21" s="43">
        <f>((F20+'2_Pricing_Engine'!$B$37)*1.05-800000000*'1_Mortality_Table'!B24)/'1_Mortality_Table'!C24</f>
        <v>799999993.30831</v>
      </c>
      <c r="G21" s="44">
        <f>F21/'2_Pricing_Engine'!$B$7</f>
        <v>0.999999991635387</v>
      </c>
    </row>
    <row r="24" spans="1:7">
      <c r="A24" t="s">
        <v>65</v>
      </c>
    </row>
    <row r="25" spans="1:7">
      <c r="A25" s="45"/>
    </row>
  </sheetData>
  <mergeCells count="3">
    <mergeCell ref="A1:G1"/>
    <mergeCell ref="A2:G2"/>
    <mergeCell ref="A4:G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zoomScale="61" zoomScaleNormal="61" workbookViewId="0">
      <selection activeCell="B9" sqref="B9"/>
    </sheetView>
  </sheetViews>
  <sheetFormatPr defaultColWidth="8.67592592592593" defaultRowHeight="14.4" outlineLevelCol="7"/>
  <cols>
    <col min="1" max="1" width="28" customWidth="1"/>
    <col min="2" max="2" width="26.7685185185185" customWidth="1"/>
    <col min="3" max="5" width="14" customWidth="1"/>
    <col min="6" max="6" width="53.8888888888889" customWidth="1"/>
    <col min="7" max="8" width="14" customWidth="1"/>
  </cols>
  <sheetData>
    <row r="1" ht="17.4" spans="1:8">
      <c r="A1" s="3" t="s">
        <v>66</v>
      </c>
      <c r="B1" s="3"/>
      <c r="C1" s="3"/>
      <c r="D1" s="3"/>
      <c r="E1" s="3"/>
      <c r="F1" s="3"/>
      <c r="G1" s="3"/>
      <c r="H1" s="3"/>
    </row>
    <row r="2" spans="1:8">
      <c r="A2" s="4" t="s">
        <v>67</v>
      </c>
      <c r="B2" s="4"/>
      <c r="C2" s="4"/>
      <c r="D2" s="4"/>
      <c r="E2" s="4"/>
      <c r="F2" s="4"/>
      <c r="G2" s="4"/>
      <c r="H2" s="4"/>
    </row>
    <row r="4" ht="19.5" customHeight="1" spans="1:8">
      <c r="A4" s="5" t="s">
        <v>68</v>
      </c>
      <c r="B4" s="5"/>
      <c r="C4" s="6"/>
      <c r="D4" s="5"/>
      <c r="E4" s="5"/>
      <c r="F4" s="5"/>
      <c r="G4" s="5"/>
    </row>
    <row r="5" ht="30" customHeight="1" spans="1:8">
      <c r="A5" s="7" t="s">
        <v>69</v>
      </c>
      <c r="B5" s="8" t="s">
        <v>70</v>
      </c>
      <c r="C5" s="9" t="s">
        <v>71</v>
      </c>
      <c r="D5" s="10" t="s">
        <v>72</v>
      </c>
    </row>
    <row r="6" ht="16.5" customHeight="1" spans="1:8">
      <c r="A6" s="11">
        <v>0.03</v>
      </c>
      <c r="B6" s="12">
        <v>45699020</v>
      </c>
      <c r="C6" s="13" t="s">
        <v>73</v>
      </c>
    </row>
    <row r="7" ht="16.5" customHeight="1" spans="1:8">
      <c r="A7" s="11">
        <v>0.04</v>
      </c>
      <c r="B7" s="14">
        <v>42336140</v>
      </c>
      <c r="C7" s="15" t="s">
        <v>74</v>
      </c>
      <c r="G7" s="16"/>
    </row>
    <row r="8" ht="16.5" customHeight="1" spans="1:8">
      <c r="A8" s="17">
        <v>0.05</v>
      </c>
      <c r="B8" s="18">
        <v>39200560</v>
      </c>
      <c r="C8" s="19" t="s">
        <v>75</v>
      </c>
    </row>
    <row r="11" ht="19.5" customHeight="1" spans="1:8">
      <c r="A11" s="5" t="s">
        <v>76</v>
      </c>
      <c r="B11" s="5"/>
      <c r="C11" s="5"/>
      <c r="D11" s="5"/>
      <c r="E11" s="5"/>
      <c r="F11" s="5"/>
    </row>
    <row r="12" ht="36" customHeight="1" spans="1:8">
      <c r="A12" s="20" t="s">
        <v>77</v>
      </c>
      <c r="B12" s="20" t="s">
        <v>78</v>
      </c>
      <c r="C12" s="20" t="s">
        <v>79</v>
      </c>
      <c r="D12" s="20" t="s">
        <v>80</v>
      </c>
      <c r="E12" s="20" t="s">
        <v>81</v>
      </c>
      <c r="F12" s="20" t="s">
        <v>82</v>
      </c>
    </row>
    <row r="13" ht="27.75" customHeight="1" spans="1:8">
      <c r="A13" s="21" t="s">
        <v>83</v>
      </c>
      <c r="B13" s="22" t="s">
        <v>84</v>
      </c>
      <c r="C13" s="23">
        <v>0.8</v>
      </c>
      <c r="D13" s="23">
        <v>0</v>
      </c>
      <c r="E13" s="24">
        <v>39200560</v>
      </c>
      <c r="F13" s="21" t="s">
        <v>85</v>
      </c>
    </row>
    <row r="14" ht="27.75" customHeight="1" spans="1:8">
      <c r="A14" s="25" t="s">
        <v>86</v>
      </c>
      <c r="B14" s="26">
        <v>0.05</v>
      </c>
      <c r="C14" s="27">
        <v>0.8</v>
      </c>
      <c r="D14" s="27">
        <v>0.25</v>
      </c>
      <c r="E14" s="28">
        <v>39313590</v>
      </c>
      <c r="F14" s="25" t="s">
        <v>87</v>
      </c>
    </row>
    <row r="15" ht="27.75" customHeight="1" spans="1:8">
      <c r="A15" s="25" t="s">
        <v>88</v>
      </c>
      <c r="B15" s="26">
        <v>0.04</v>
      </c>
      <c r="C15" s="27">
        <v>0.8</v>
      </c>
      <c r="D15" s="27">
        <v>0.25</v>
      </c>
      <c r="E15" s="28">
        <v>41671770</v>
      </c>
      <c r="F15" s="25" t="s">
        <v>89</v>
      </c>
    </row>
    <row r="16" ht="40" customHeight="1" spans="1:8">
      <c r="A16" s="29" t="s">
        <v>90</v>
      </c>
      <c r="B16" s="30" t="s">
        <v>91</v>
      </c>
      <c r="C16" s="31">
        <v>0.8</v>
      </c>
      <c r="D16" s="31">
        <v>0.25</v>
      </c>
      <c r="E16" s="32">
        <v>44212590</v>
      </c>
      <c r="F16" s="29" t="s">
        <v>92</v>
      </c>
    </row>
    <row r="18" ht="7.5" customHeight="1"/>
    <row r="19" ht="19.5" customHeight="1" spans="1:6">
      <c r="A19" s="5" t="s">
        <v>93</v>
      </c>
      <c r="B19" s="5"/>
      <c r="C19" s="5"/>
      <c r="D19" s="5"/>
      <c r="E19" s="5"/>
      <c r="F19" s="5"/>
    </row>
    <row r="20" s="1" customFormat="1" ht="27" customHeight="1" spans="1:6">
      <c r="A20" s="33" t="s">
        <v>94</v>
      </c>
      <c r="B20" s="33"/>
      <c r="C20" s="33"/>
      <c r="D20" s="33"/>
      <c r="E20" s="33"/>
      <c r="F20" s="33"/>
    </row>
    <row r="21" ht="18" customHeight="1" spans="1:6">
      <c r="A21" s="33" t="s">
        <v>95</v>
      </c>
      <c r="B21" s="34"/>
      <c r="C21" s="34"/>
      <c r="D21" s="34"/>
      <c r="E21" s="34"/>
      <c r="F21" s="34"/>
    </row>
    <row r="22" ht="21" customHeight="1" spans="1:6">
      <c r="A22" s="33" t="s">
        <v>96</v>
      </c>
      <c r="B22" s="34"/>
      <c r="C22" s="34"/>
      <c r="D22" s="34"/>
      <c r="E22" s="34"/>
      <c r="F22" s="34"/>
    </row>
    <row r="23" ht="29" customHeight="1" spans="1:6">
      <c r="A23" s="33" t="s">
        <v>97</v>
      </c>
      <c r="B23" s="34"/>
      <c r="C23" s="34"/>
      <c r="D23" s="34"/>
      <c r="E23" s="34"/>
      <c r="F23" s="34"/>
    </row>
    <row r="24" s="2" customFormat="1" ht="18" customHeight="1" spans="1:6">
      <c r="A24" s="35"/>
      <c r="B24" s="35"/>
      <c r="C24" s="35"/>
      <c r="D24" s="35"/>
      <c r="E24" s="35"/>
      <c r="F24" s="35"/>
    </row>
  </sheetData>
  <mergeCells count="9">
    <mergeCell ref="A1:H1"/>
    <mergeCell ref="A2:H2"/>
    <mergeCell ref="A4:G4"/>
    <mergeCell ref="A11:F11"/>
    <mergeCell ref="A19:F19"/>
    <mergeCell ref="A20:F20"/>
    <mergeCell ref="A21:F21"/>
    <mergeCell ref="A22:F22"/>
    <mergeCell ref="A23:F2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1_Mortality_Table</vt:lpstr>
      <vt:lpstr>2_Pricing_Engine</vt:lpstr>
      <vt:lpstr>3_Reserve_Projection</vt:lpstr>
      <vt:lpstr>4_Stress_Testing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Mai Trịnh</cp:lastModifiedBy>
  <cp:revision>0</cp:revision>
  <dcterms:created xsi:type="dcterms:W3CDTF">2026-07-01T03:31:00Z</dcterms:created>
  <dcterms:modified xsi:type="dcterms:W3CDTF">2026-07-08T09:24:53Z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897DD955426C4B22B88303FF1810EE36_12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