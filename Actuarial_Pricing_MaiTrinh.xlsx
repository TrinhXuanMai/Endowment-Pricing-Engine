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48" windowHeight="8400" tabRatio="500" firstSheet="1" activeTab="3"/>
  </bookViews>
  <sheets>
    <sheet name="1_Mortality_Table" sheetId="1" r:id="rId1"/>
    <sheet name="2_Pricing_Engine" sheetId="2" r:id="rId2"/>
    <sheet name="3_Reserve_Projection" sheetId="3" r:id="rId3"/>
    <sheet name="4_Stress_Testin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<sst xmlns="http://schemas.openxmlformats.org/spreadsheetml/2006/main" count="147" uniqueCount="106">
  <si>
    <t>BẢNG TỶ LỆ TỬ VONG CSO 1980</t>
  </si>
  <si>
    <t>Nguồn: Thông tư số 156/2007/TT-BTC ngày 20/12/2007 của Bộ Tài chính | Phạm vi: Tuổi 25–50 (phù hợp sản phẩm Endowment 15 năm)</t>
  </si>
  <si>
    <t>Tuổi (x)</t>
  </si>
  <si>
    <t>qx Nam</t>
  </si>
  <si>
    <t>px Nam
(1-qx)</t>
  </si>
  <si>
    <t>lx Nam
(survivors)</t>
  </si>
  <si>
    <t>dx Nam
(deaths)</t>
  </si>
  <si>
    <t>qx Nữ</t>
  </si>
  <si>
    <t>px Nữ
(1-qx)</t>
  </si>
  <si>
    <t>lx Nữ
(survivors)</t>
  </si>
  <si>
    <t>dx Nữ
(deaths)</t>
  </si>
  <si>
    <t>Ghi chú: lx khởi đầu = 100,000 (radix). px = xác suất sống qua năm. dx = số người chết trong năm. Nam dùng cho pricing base case.</t>
  </si>
  <si>
    <t>PRICING ENGINE — EDUCATION ENDOWMENT INSURANCE</t>
  </si>
  <si>
    <t>Lapse-Adjusted Net Premium Calculation | CSO 1980 Mortality | Vietnam Market</t>
  </si>
  <si>
    <t>📋 KEY ASSUMPTIONS  (ô màu vàng = input, tự thay đổi được)</t>
  </si>
  <si>
    <t>Tuổi người mua (Entry age x)</t>
  </si>
  <si>
    <t>năm</t>
  </si>
  <si>
    <t>Thời hạn hợp đồng (n)</t>
  </si>
  <si>
    <t>Số tiền bảo hiểm (S – Benefit)</t>
  </si>
  <si>
    <t>VND</t>
  </si>
  <si>
    <t>Lãi suất kỹ thuật (i) – Base</t>
  </si>
  <si>
    <t>5.00%</t>
  </si>
  <si>
    <t>Lapse rate năm 1</t>
  </si>
  <si>
    <t>20%</t>
  </si>
  <si>
    <t>Lapse rate năm 2+</t>
  </si>
  <si>
    <t>8%</t>
  </si>
  <si>
    <t>Mortality loading factor</t>
  </si>
  <si>
    <t>100% of CSO 1980</t>
  </si>
  <si>
    <t>📊 YEAR-BY-YEAR PROJECTION TABLE</t>
  </si>
  <si>
    <t>Năm (t)</t>
  </si>
  <si>
    <t>Tuổi (x+t)</t>
  </si>
  <si>
    <t>qx (CSO1980)</t>
  </si>
  <si>
    <t>px</t>
  </si>
  <si>
    <t>tPx
(survival)</t>
  </si>
  <si>
    <t>Lapse
Survival</t>
  </si>
  <si>
    <t>vt
(discount)</t>
  </si>
  <si>
    <t>tPx × vt</t>
  </si>
  <si>
    <t>Lapse-adj
tPx × vt</t>
  </si>
  <si>
    <t>Reserve
Vt (approx)</t>
  </si>
  <si>
    <t>→ Sheet 3</t>
  </si>
  <si>
    <t>📈 PRICING RESULTS</t>
  </si>
  <si>
    <t>Annuity Factor ä (no lapse)</t>
  </si>
  <si>
    <t>VND factor</t>
  </si>
  <si>
    <t>Annuity Factor ä* (lapse-adjusted)</t>
  </si>
  <si>
    <t>15P15 — survival prob to maturity</t>
  </si>
  <si>
    <t>probability</t>
  </si>
  <si>
    <t>Net Single Premium (NSP)</t>
  </si>
  <si>
    <t>Net Annual Premium — Base (NAP)</t>
  </si>
  <si>
    <t>VND/year</t>
  </si>
  <si>
    <t>Calibrated via Python DCF to eliminate rounding errors</t>
  </si>
  <si>
    <t>NAP — Lapse Adjusted (NAP*)</t>
  </si>
  <si>
    <t>Premium Burden (% income 300M/yr)</t>
  </si>
  <si>
    <t>%</t>
  </si>
  <si>
    <t>PROSPECTIVE RESERVE PROJECTION — 15-YEAR ENDOWMENT</t>
  </si>
  <si>
    <t>Vt = [ (Vt-1 + Premium) × (1+i) - Death Benefit × qx ] / px | Fackler's Retrospective Method</t>
  </si>
  <si>
    <t>📊 RESERVE RUN-OFF TABLE (Base Scenario)</t>
  </si>
  <si>
    <t>Tuổi</t>
  </si>
  <si>
    <t>tPx</t>
  </si>
  <si>
    <t>PV Future
Benefits</t>
  </si>
  <si>
    <t>PV Future
Premiums</t>
  </si>
  <si>
    <t>Reserve Vt</t>
  </si>
  <si>
    <t>Reserve
(% of Benefit)</t>
  </si>
  <si>
    <t>—</t>
  </si>
  <si>
    <t>0.0%</t>
  </si>
  <si>
    <t>[ (Tiền năm ngoái + Thu phí năm nay) sinh lời 5% - Trả tiền cho người chết ] chia cho Số người còn sống.</t>
  </si>
  <si>
    <t>STRESS TESTING — NAP SENSITIVITY ANALYSIS</t>
  </si>
  <si>
    <t>Mục tiêu: Đo lường tác động của lãi suất × mortality loading lên Net Annual Premium</t>
  </si>
  <si>
    <t>📊 SCENARIO A — NAP vs Interest Rate (mortality = base CSO 1980)</t>
  </si>
  <si>
    <t>Lãi suất (i)</t>
  </si>
  <si>
    <t>NAP (VND/năm)</t>
  </si>
  <si>
    <t>vs Base (5%)</t>
  </si>
  <si>
    <t>Premium Burden
(income 300M)</t>
  </si>
  <si>
    <t>← Dùng Data Table hoặc thay $B$8 trong Sheet 2</t>
  </si>
  <si>
    <t>HIGH</t>
  </si>
  <si>
    <t>MOD</t>
  </si>
  <si>
    <t>BASE</t>
  </si>
  <si>
    <t>LOW</t>
  </si>
  <si>
    <t>📊 SCENARIO B — Combined Stress: Interest × Mortality × Lapse</t>
  </si>
  <si>
    <t>Scenario</t>
  </si>
  <si>
    <t>Lãi suất</t>
  </si>
  <si>
    <t>Mortality
Loading</t>
  </si>
  <si>
    <t>Lapse Yr1</t>
  </si>
  <si>
    <t>NAP est.
(relative)</t>
  </si>
  <si>
    <t>Business Impact</t>
  </si>
  <si>
    <t>Base Case</t>
  </si>
  <si>
    <t>5.0%</t>
  </si>
  <si>
    <t>100%</t>
  </si>
  <si>
    <t>Viable — burden 14% of median income</t>
  </si>
  <si>
    <t>Adverse 1
(Low rate)</t>
  </si>
  <si>
    <t>3.0%</t>
  </si>
  <si>
    <t>+18–22%</t>
  </si>
  <si>
    <t>Premium rises; borderline affordable</t>
  </si>
  <si>
    <t>Adverse 2
(High lapse)</t>
  </si>
  <si>
    <t>35%</t>
  </si>
  <si>
    <t>+8–12%</t>
  </si>
  <si>
    <t>Lapse loading increases NAP moderately</t>
  </si>
  <si>
    <t>Worst Case</t>
  </si>
  <si>
    <t>110%</t>
  </si>
  <si>
    <t>+28–35%</t>
  </si>
  <si>
    <t>⚠ Product not viable without redesign</t>
  </si>
  <si>
    <t>💡 KEY FINDINGS &amp; ACTUARIAL RECOMMENDATION</t>
  </si>
  <si>
    <t>1. Base case NAP is affordable for middle-income households (premium burden &lt; 15% of annual income).</t>
  </si>
  <si>
    <t>2. Interest rate is the dominant risk driver — 200bp drop increases NAP by ~20%.</t>
  </si>
  <si>
    <t>3. Lapse rate above 30% yr1 creates adverse selection pressure requiring product redesign.</t>
  </si>
  <si>
    <t>4. Recommended minimum technical rate: 4.5% to maintain solvency under stress.</t>
  </si>
  <si>
    <t>5. Limited-Pay structure (7-pay) reduces lapse risk by concentrating premiums in high-income years.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</si>
</sst>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  <numFmt numFmtId="177" formatCode="#,##0&quot; VND&quot;"/>
    <numFmt numFmtId="178" formatCode="0.00000"/>
  </numFmts>
  <fonts count="38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9"/>
      <color rgb="FF666666"/>
      <name val="Arial"/>
      <charset val="1"/>
    </font>
    <font>
      <b/>
      <sz val="10"/>
      <color rgb="FF1F3864"/>
      <name val="Arial"/>
      <charset val="1"/>
    </font>
    <font>
      <b/>
      <sz val="10"/>
      <color rgb="FF000000"/>
      <name val="Arial"/>
      <charset val="1"/>
    </font>
    <font>
      <sz val="10"/>
      <name val="Arial"/>
      <charset val="1"/>
    </font>
    <font>
      <i/>
      <sz val="9"/>
      <color rgb="FF999999"/>
      <name val="Arial"/>
      <charset val="1"/>
    </font>
    <font>
      <b/>
      <sz val="10"/>
      <name val="Arial"/>
      <charset val="1"/>
    </font>
    <font>
      <sz val="9"/>
      <color rgb="FF000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666666"/>
      <name val="Arial"/>
      <charset val="1"/>
    </font>
    <font>
      <b/>
      <sz val="10.5"/>
      <color rgb="FF1B1B1E"/>
      <name val="Arial"/>
      <charset val="1"/>
    </font>
    <font>
      <b/>
      <sz val="10"/>
      <color rgb="FF0000FF"/>
      <name val="Arial"/>
      <charset val="1"/>
    </font>
    <font>
      <sz val="9"/>
      <color rgb="FF666666"/>
      <name val="Arial"/>
      <charset val="1"/>
    </font>
    <font>
      <i/>
      <sz val="9"/>
      <color rgb="FF888888"/>
      <name val="Arial"/>
      <charset val="1"/>
    </font>
    <font>
      <i/>
      <sz val="10.5"/>
      <color rgb="FF1B1B1E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D6E4F7"/>
        <bgColor rgb="FFE0F0E0"/>
      </patternFill>
    </fill>
    <fill>
      <patternFill patternType="solid">
        <fgColor rgb="FFFFE0E0"/>
        <bgColor rgb="FFFFF0CC"/>
      </patternFill>
    </fill>
    <fill>
      <patternFill patternType="solid">
        <fgColor rgb="FFFFF0CC"/>
        <bgColor rgb="FFFFE0E0"/>
      </patternFill>
    </fill>
    <fill>
      <patternFill patternType="solid">
        <fgColor rgb="FFFFFFFF"/>
        <bgColor rgb="FFFFFFF0"/>
      </patternFill>
    </fill>
    <fill>
      <patternFill patternType="solid">
        <fgColor rgb="FFE0F0E0"/>
        <bgColor rgb="FFE8F5E9"/>
      </patternFill>
    </fill>
    <fill>
      <patternFill patternType="solid">
        <fgColor rgb="FF1F3864"/>
        <bgColor rgb="FF333333"/>
      </patternFill>
    </fill>
    <fill>
      <patternFill patternType="solid">
        <fgColor rgb="FFE8F5E9"/>
        <bgColor rgb="FFE0F0E0"/>
      </patternFill>
    </fill>
    <fill>
      <patternFill patternType="solid">
        <fgColor rgb="FFFFFFF0"/>
        <bgColor rgb="FFFFFFFF"/>
      </patternFill>
    </fill>
    <fill>
      <patternFill patternType="solid">
        <fgColor rgb="FFF5F5F5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7" fillId="0" borderId="0" applyBorder="0" applyAlignment="0" applyProtection="0"/>
    <xf numFmtId="44" fontId="17" fillId="0" borderId="0" applyBorder="0" applyAlignment="0" applyProtection="0"/>
    <xf numFmtId="9" fontId="17" fillId="0" borderId="0" applyBorder="0" applyAlignment="0" applyProtection="0"/>
    <xf numFmtId="41" fontId="17" fillId="0" borderId="0" applyBorder="0" applyAlignment="0" applyProtection="0"/>
    <xf numFmtId="42" fontId="17" fillId="0" borderId="0" applyBorder="0" applyAlignment="0" applyProtection="0"/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1" borderId="2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2" borderId="5" applyNumberFormat="0" applyAlignment="0" applyProtection="0">
      <alignment vertical="center"/>
    </xf>
    <xf numFmtId="0" fontId="28" fillId="13" borderId="6" applyNumberFormat="0" applyAlignment="0" applyProtection="0">
      <alignment vertical="center"/>
    </xf>
    <xf numFmtId="0" fontId="29" fillId="13" borderId="5" applyNumberFormat="0" applyAlignment="0" applyProtection="0">
      <alignment vertical="center"/>
    </xf>
    <xf numFmtId="0" fontId="30" fillId="14" borderId="7" applyNumberFormat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/>
    <xf numFmtId="0" fontId="6" fillId="0" borderId="1" xfId="0" applyFont="1" applyBorder="1"/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176" fontId="7" fillId="0" borderId="1" xfId="0" applyNumberFormat="1" applyFont="1" applyBorder="1"/>
    <xf numFmtId="177" fontId="8" fillId="0" borderId="1" xfId="0" applyNumberFormat="1" applyFont="1" applyBorder="1"/>
    <xf numFmtId="0" fontId="5" fillId="5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/>
    <xf numFmtId="0" fontId="7" fillId="0" borderId="1" xfId="0" applyFont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7" fontId="5" fillId="0" borderId="1" xfId="0" applyNumberFormat="1" applyFont="1" applyBorder="1"/>
    <xf numFmtId="0" fontId="11" fillId="0" borderId="1" xfId="0" applyFont="1" applyBorder="1"/>
    <xf numFmtId="178" fontId="10" fillId="0" borderId="1" xfId="0" applyNumberFormat="1" applyFont="1" applyBorder="1"/>
    <xf numFmtId="177" fontId="10" fillId="0" borderId="1" xfId="0" applyNumberFormat="1" applyFont="1" applyBorder="1"/>
    <xf numFmtId="177" fontId="4" fillId="8" borderId="1" xfId="0" applyNumberFormat="1" applyFont="1" applyFill="1" applyBorder="1"/>
    <xf numFmtId="176" fontId="10" fillId="0" borderId="1" xfId="0" applyNumberFormat="1" applyFont="1" applyBorder="1"/>
    <xf numFmtId="0" fontId="12" fillId="0" borderId="0" xfId="0" applyFont="1" applyAlignment="1">
      <alignment wrapText="1"/>
    </xf>
    <xf numFmtId="0" fontId="10" fillId="0" borderId="1" xfId="0" applyFont="1" applyBorder="1" applyAlignment="1">
      <alignment horizontal="left" vertical="center"/>
    </xf>
    <xf numFmtId="1" fontId="13" fillId="9" borderId="1" xfId="0" applyNumberFormat="1" applyFont="1" applyFill="1" applyBorder="1"/>
    <xf numFmtId="0" fontId="14" fillId="0" borderId="1" xfId="0" applyFont="1" applyBorder="1"/>
    <xf numFmtId="177" fontId="13" fillId="9" borderId="1" xfId="0" applyNumberFormat="1" applyFont="1" applyFill="1" applyBorder="1"/>
    <xf numFmtId="10" fontId="13" fillId="9" borderId="1" xfId="0" applyNumberFormat="1" applyFont="1" applyFill="1" applyBorder="1"/>
    <xf numFmtId="0" fontId="15" fillId="0" borderId="1" xfId="0" applyFont="1" applyBorder="1"/>
    <xf numFmtId="0" fontId="16" fillId="0" borderId="0" xfId="0" applyFont="1"/>
    <xf numFmtId="0" fontId="7" fillId="10" borderId="1" xfId="0" applyFont="1" applyFill="1" applyBorder="1" applyAlignment="1">
      <alignment horizontal="center"/>
    </xf>
    <xf numFmtId="178" fontId="5" fillId="0" borderId="1" xfId="0" applyNumberFormat="1" applyFont="1" applyBorder="1"/>
    <xf numFmtId="3" fontId="5" fillId="0" borderId="1" xfId="0" applyNumberFormat="1" applyFont="1" applyBorder="1"/>
    <xf numFmtId="0" fontId="2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808000"/>
      <rgbColor rgb="00800080"/>
      <rgbColor rgb="00008080"/>
      <rgbColor rgb="00B0B0B0"/>
      <rgbColor rgb="00888888"/>
      <rgbColor rgb="009999FF"/>
      <rgbColor rgb="00993366"/>
      <rgbColor rgb="00FFF0CC"/>
      <rgbColor rgb="00E8F5E9"/>
      <rgbColor rgb="00660066"/>
      <rgbColor rgb="00FF8080"/>
      <rgbColor rgb="000066CC"/>
      <rgbColor rgb="00D6E4F7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5F5F5"/>
      <rgbColor rgb="00E0F0E0"/>
      <rgbColor rgb="00FFFFF0"/>
      <rgbColor rgb="0099CCFF"/>
      <rgbColor rgb="00FF99CC"/>
      <rgbColor rgb="00CC99FF"/>
      <rgbColor rgb="00FFE0E0"/>
      <rgbColor rgb="003366FF"/>
      <rgbColor rgb="0033CCCC"/>
      <rgbColor rgb="0099CC00"/>
      <rgbColor rgb="00FFCC00"/>
      <rgbColor rgb="00FF9900"/>
      <rgbColor rgb="00FF6600"/>
      <rgbColor rgb="00666666"/>
      <rgbColor rgb="00999999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showGridLines="0" workbookViewId="0">
      <selection activeCell="A1" sqref="$A1:$XFD1048576"/>
    </sheetView>
  </sheetViews>
  <sheetFormatPr defaultColWidth="8.67592592592593" defaultRowHeight="14.4"/>
  <cols>
    <col min="1" max="1" width="8" customWidth="1"/>
    <col min="2" max="9" width="14" customWidth="1"/>
  </cols>
  <sheetData>
    <row r="1" ht="17.4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1</v>
      </c>
      <c r="B2" s="2"/>
      <c r="C2" s="2"/>
      <c r="D2" s="2"/>
      <c r="E2" s="2"/>
      <c r="F2" s="2"/>
      <c r="G2" s="2"/>
      <c r="H2" s="2"/>
      <c r="I2" s="2"/>
    </row>
    <row r="3" ht="6" customHeight="1"/>
    <row r="4" ht="36" customHeight="1" spans="1:9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  <c r="I4" s="14" t="s">
        <v>10</v>
      </c>
    </row>
    <row r="5" ht="15.75" customHeight="1" spans="1:9">
      <c r="A5" s="36">
        <v>25</v>
      </c>
      <c r="B5" s="37">
        <v>0.00175</v>
      </c>
      <c r="C5" s="37">
        <f t="shared" ref="C5:C30" si="0">1-B5</f>
        <v>0.99825</v>
      </c>
      <c r="D5" s="38">
        <v>100000</v>
      </c>
      <c r="E5" s="38">
        <f t="shared" ref="E5:E30" si="1">D5*B5</f>
        <v>175</v>
      </c>
      <c r="F5" s="37">
        <v>0.00117</v>
      </c>
      <c r="G5" s="37">
        <f t="shared" ref="G5:G30" si="2">1-F5</f>
        <v>0.99883</v>
      </c>
      <c r="H5" s="38">
        <v>100000</v>
      </c>
      <c r="I5" s="38">
        <f t="shared" ref="I5:I30" si="3">H5*F5</f>
        <v>117</v>
      </c>
    </row>
    <row r="6" ht="15.75" customHeight="1" spans="1:9">
      <c r="A6" s="36">
        <v>26</v>
      </c>
      <c r="B6" s="37">
        <v>0.00172</v>
      </c>
      <c r="C6" s="37">
        <f t="shared" si="0"/>
        <v>0.99828</v>
      </c>
      <c r="D6" s="38">
        <f t="shared" ref="D6:D30" si="4">D5*C5</f>
        <v>99825</v>
      </c>
      <c r="E6" s="38">
        <f t="shared" si="1"/>
        <v>171.699</v>
      </c>
      <c r="F6" s="37">
        <v>0.0012</v>
      </c>
      <c r="G6" s="37">
        <f t="shared" si="2"/>
        <v>0.9988</v>
      </c>
      <c r="H6" s="38">
        <f t="shared" ref="H6:H30" si="5">H5*G5</f>
        <v>99883</v>
      </c>
      <c r="I6" s="38">
        <f t="shared" si="3"/>
        <v>119.8596</v>
      </c>
    </row>
    <row r="7" ht="15.75" customHeight="1" spans="1:9">
      <c r="A7" s="36">
        <v>27</v>
      </c>
      <c r="B7" s="37">
        <v>0.00171</v>
      </c>
      <c r="C7" s="37">
        <f t="shared" si="0"/>
        <v>0.99829</v>
      </c>
      <c r="D7" s="38">
        <f t="shared" si="4"/>
        <v>99653.301</v>
      </c>
      <c r="E7" s="38">
        <f t="shared" si="1"/>
        <v>170.40714471</v>
      </c>
      <c r="F7" s="37">
        <v>0.00124</v>
      </c>
      <c r="G7" s="37">
        <f t="shared" si="2"/>
        <v>0.99876</v>
      </c>
      <c r="H7" s="38">
        <f t="shared" si="5"/>
        <v>99763.1404</v>
      </c>
      <c r="I7" s="38">
        <f t="shared" si="3"/>
        <v>123.706294096</v>
      </c>
    </row>
    <row r="8" ht="15.75" customHeight="1" spans="1:9">
      <c r="A8" s="36">
        <v>28</v>
      </c>
      <c r="B8" s="37">
        <v>0.0017</v>
      </c>
      <c r="C8" s="37">
        <f t="shared" si="0"/>
        <v>0.9983</v>
      </c>
      <c r="D8" s="38">
        <f t="shared" si="4"/>
        <v>99482.89385529</v>
      </c>
      <c r="E8" s="38">
        <f t="shared" si="1"/>
        <v>169.120919553993</v>
      </c>
      <c r="F8" s="37">
        <v>0.00128</v>
      </c>
      <c r="G8" s="37">
        <f t="shared" si="2"/>
        <v>0.99872</v>
      </c>
      <c r="H8" s="38">
        <f t="shared" si="5"/>
        <v>99639.434105904</v>
      </c>
      <c r="I8" s="38">
        <f t="shared" si="3"/>
        <v>127.538475655557</v>
      </c>
    </row>
    <row r="9" ht="15.75" customHeight="1" spans="1:9">
      <c r="A9" s="36">
        <v>29</v>
      </c>
      <c r="B9" s="37">
        <v>0.00172</v>
      </c>
      <c r="C9" s="37">
        <f t="shared" si="0"/>
        <v>0.99828</v>
      </c>
      <c r="D9" s="38">
        <f t="shared" si="4"/>
        <v>99313.772935736</v>
      </c>
      <c r="E9" s="38">
        <f t="shared" si="1"/>
        <v>170.819689449466</v>
      </c>
      <c r="F9" s="37">
        <v>0.00132</v>
      </c>
      <c r="G9" s="37">
        <f t="shared" si="2"/>
        <v>0.99868</v>
      </c>
      <c r="H9" s="38">
        <f t="shared" si="5"/>
        <v>99511.8956302484</v>
      </c>
      <c r="I9" s="38">
        <f t="shared" si="3"/>
        <v>131.355702231928</v>
      </c>
    </row>
    <row r="10" ht="15.75" customHeight="1" spans="1:9">
      <c r="A10" s="36">
        <v>30</v>
      </c>
      <c r="B10" s="37">
        <v>0.00175</v>
      </c>
      <c r="C10" s="37">
        <f t="shared" si="0"/>
        <v>0.99825</v>
      </c>
      <c r="D10" s="38">
        <f t="shared" si="4"/>
        <v>99142.9532462865</v>
      </c>
      <c r="E10" s="38">
        <f t="shared" si="1"/>
        <v>173.500168181001</v>
      </c>
      <c r="F10" s="37">
        <v>0.00137</v>
      </c>
      <c r="G10" s="37">
        <f t="shared" si="2"/>
        <v>0.99863</v>
      </c>
      <c r="H10" s="38">
        <f t="shared" si="5"/>
        <v>99380.5399280165</v>
      </c>
      <c r="I10" s="38">
        <f t="shared" si="3"/>
        <v>136.151339701383</v>
      </c>
    </row>
    <row r="11" ht="15.75" customHeight="1" spans="1:9">
      <c r="A11" s="36">
        <v>31</v>
      </c>
      <c r="B11" s="37">
        <v>0.0018</v>
      </c>
      <c r="C11" s="37">
        <f t="shared" si="0"/>
        <v>0.9982</v>
      </c>
      <c r="D11" s="38">
        <f t="shared" si="4"/>
        <v>98969.4530781055</v>
      </c>
      <c r="E11" s="38">
        <f t="shared" si="1"/>
        <v>178.14501554059</v>
      </c>
      <c r="F11" s="37">
        <v>0.00142</v>
      </c>
      <c r="G11" s="37">
        <f t="shared" si="2"/>
        <v>0.99858</v>
      </c>
      <c r="H11" s="38">
        <f t="shared" si="5"/>
        <v>99244.3885883151</v>
      </c>
      <c r="I11" s="38">
        <f t="shared" si="3"/>
        <v>140.927031795407</v>
      </c>
    </row>
    <row r="12" ht="15.75" customHeight="1" spans="1:9">
      <c r="A12" s="36">
        <v>32</v>
      </c>
      <c r="B12" s="37">
        <v>0.00187</v>
      </c>
      <c r="C12" s="37">
        <f t="shared" si="0"/>
        <v>0.99813</v>
      </c>
      <c r="D12" s="38">
        <f t="shared" si="4"/>
        <v>98791.3080625649</v>
      </c>
      <c r="E12" s="38">
        <f t="shared" si="1"/>
        <v>184.739746076996</v>
      </c>
      <c r="F12" s="37">
        <v>0.00147</v>
      </c>
      <c r="G12" s="37">
        <f t="shared" si="2"/>
        <v>0.99853</v>
      </c>
      <c r="H12" s="38">
        <f t="shared" si="5"/>
        <v>99103.4615565197</v>
      </c>
      <c r="I12" s="38">
        <f t="shared" si="3"/>
        <v>145.682088488084</v>
      </c>
    </row>
    <row r="13" ht="15.75" customHeight="1" spans="1:9">
      <c r="A13" s="36">
        <v>33</v>
      </c>
      <c r="B13" s="37">
        <v>0.00195</v>
      </c>
      <c r="C13" s="37">
        <f t="shared" si="0"/>
        <v>0.99805</v>
      </c>
      <c r="D13" s="38">
        <f t="shared" si="4"/>
        <v>98606.5683164879</v>
      </c>
      <c r="E13" s="38">
        <f t="shared" si="1"/>
        <v>192.282808217151</v>
      </c>
      <c r="F13" s="37">
        <v>0.00154</v>
      </c>
      <c r="G13" s="37">
        <f t="shared" si="2"/>
        <v>0.99846</v>
      </c>
      <c r="H13" s="38">
        <f t="shared" si="5"/>
        <v>98957.7794680316</v>
      </c>
      <c r="I13" s="38">
        <f t="shared" si="3"/>
        <v>152.394980380769</v>
      </c>
    </row>
    <row r="14" ht="15.75" customHeight="1" spans="1:9">
      <c r="A14" s="36">
        <v>34</v>
      </c>
      <c r="B14" s="37">
        <v>0.00205</v>
      </c>
      <c r="C14" s="37">
        <f t="shared" si="0"/>
        <v>0.99795</v>
      </c>
      <c r="D14" s="38">
        <f t="shared" si="4"/>
        <v>98414.2855082708</v>
      </c>
      <c r="E14" s="38">
        <f t="shared" si="1"/>
        <v>201.749285291955</v>
      </c>
      <c r="F14" s="37">
        <v>0.00161</v>
      </c>
      <c r="G14" s="37">
        <f t="shared" si="2"/>
        <v>0.99839</v>
      </c>
      <c r="H14" s="38">
        <f t="shared" si="5"/>
        <v>98805.3844876509</v>
      </c>
      <c r="I14" s="38">
        <f t="shared" si="3"/>
        <v>159.076669025118</v>
      </c>
    </row>
    <row r="15" ht="15.75" customHeight="1" spans="1:9">
      <c r="A15" s="36">
        <v>35</v>
      </c>
      <c r="B15" s="37">
        <v>0.00217</v>
      </c>
      <c r="C15" s="37">
        <f t="shared" si="0"/>
        <v>0.99783</v>
      </c>
      <c r="D15" s="38">
        <f t="shared" si="4"/>
        <v>98212.5362229788</v>
      </c>
      <c r="E15" s="38">
        <f t="shared" si="1"/>
        <v>213.121203603864</v>
      </c>
      <c r="F15" s="37">
        <v>0.0017</v>
      </c>
      <c r="G15" s="37">
        <f t="shared" si="2"/>
        <v>0.9983</v>
      </c>
      <c r="H15" s="38">
        <f t="shared" si="5"/>
        <v>98646.3078186258</v>
      </c>
      <c r="I15" s="38">
        <f t="shared" si="3"/>
        <v>167.698723291664</v>
      </c>
    </row>
    <row r="16" ht="15.75" customHeight="1" spans="1:9">
      <c r="A16" s="36">
        <v>36</v>
      </c>
      <c r="B16" s="37">
        <v>0.00232</v>
      </c>
      <c r="C16" s="37">
        <f t="shared" si="0"/>
        <v>0.99768</v>
      </c>
      <c r="D16" s="38">
        <f t="shared" si="4"/>
        <v>97999.415019375</v>
      </c>
      <c r="E16" s="38">
        <f t="shared" si="1"/>
        <v>227.35864284495</v>
      </c>
      <c r="F16" s="37">
        <v>0.00182</v>
      </c>
      <c r="G16" s="37">
        <f t="shared" si="2"/>
        <v>0.99818</v>
      </c>
      <c r="H16" s="38">
        <f t="shared" si="5"/>
        <v>98478.6090953341</v>
      </c>
      <c r="I16" s="38">
        <f t="shared" si="3"/>
        <v>179.231068553508</v>
      </c>
    </row>
    <row r="17" ht="15.75" customHeight="1" spans="1:9">
      <c r="A17" s="36">
        <v>37</v>
      </c>
      <c r="B17" s="37">
        <v>0.00249</v>
      </c>
      <c r="C17" s="37">
        <f t="shared" si="0"/>
        <v>0.99751</v>
      </c>
      <c r="D17" s="38">
        <f t="shared" si="4"/>
        <v>97772.05637653</v>
      </c>
      <c r="E17" s="38">
        <f t="shared" si="1"/>
        <v>243.45242037756</v>
      </c>
      <c r="F17" s="37">
        <v>0.00196</v>
      </c>
      <c r="G17" s="37">
        <f t="shared" si="2"/>
        <v>0.99804</v>
      </c>
      <c r="H17" s="38">
        <f t="shared" si="5"/>
        <v>98299.3780267806</v>
      </c>
      <c r="I17" s="38">
        <f t="shared" si="3"/>
        <v>192.66678093249</v>
      </c>
    </row>
    <row r="18" ht="15.75" customHeight="1" spans="1:9">
      <c r="A18" s="36">
        <v>38</v>
      </c>
      <c r="B18" s="37">
        <v>0.00268</v>
      </c>
      <c r="C18" s="37">
        <f t="shared" si="0"/>
        <v>0.99732</v>
      </c>
      <c r="D18" s="38">
        <f t="shared" si="4"/>
        <v>97528.6039561524</v>
      </c>
      <c r="E18" s="38">
        <f t="shared" si="1"/>
        <v>261.376658602489</v>
      </c>
      <c r="F18" s="37">
        <v>0.00213</v>
      </c>
      <c r="G18" s="37">
        <f t="shared" si="2"/>
        <v>0.99787</v>
      </c>
      <c r="H18" s="38">
        <f t="shared" si="5"/>
        <v>98106.7112458481</v>
      </c>
      <c r="I18" s="38">
        <f t="shared" si="3"/>
        <v>208.967294953656</v>
      </c>
    </row>
    <row r="19" ht="15.75" customHeight="1" spans="1:9">
      <c r="A19" s="36">
        <v>39</v>
      </c>
      <c r="B19" s="37">
        <v>0.0029</v>
      </c>
      <c r="C19" s="37">
        <f t="shared" si="0"/>
        <v>0.9971</v>
      </c>
      <c r="D19" s="38">
        <f t="shared" si="4"/>
        <v>97267.22729755</v>
      </c>
      <c r="E19" s="38">
        <f t="shared" si="1"/>
        <v>282.074959162895</v>
      </c>
      <c r="F19" s="37">
        <v>0.00232</v>
      </c>
      <c r="G19" s="37">
        <f t="shared" si="2"/>
        <v>0.99768</v>
      </c>
      <c r="H19" s="38">
        <f t="shared" si="5"/>
        <v>97897.7439508944</v>
      </c>
      <c r="I19" s="38">
        <f t="shared" si="3"/>
        <v>227.122765966075</v>
      </c>
    </row>
    <row r="20" ht="15.75" customHeight="1" spans="1:9">
      <c r="A20" s="36">
        <v>40</v>
      </c>
      <c r="B20" s="37">
        <v>0.00315</v>
      </c>
      <c r="C20" s="37">
        <f t="shared" si="0"/>
        <v>0.99685</v>
      </c>
      <c r="D20" s="38">
        <f t="shared" si="4"/>
        <v>96985.1523383871</v>
      </c>
      <c r="E20" s="38">
        <f t="shared" si="1"/>
        <v>305.503229865919</v>
      </c>
      <c r="F20" s="37">
        <v>0.00253</v>
      </c>
      <c r="G20" s="37">
        <f t="shared" si="2"/>
        <v>0.99747</v>
      </c>
      <c r="H20" s="38">
        <f t="shared" si="5"/>
        <v>97670.6211849284</v>
      </c>
      <c r="I20" s="38">
        <f t="shared" si="3"/>
        <v>247.106671597869</v>
      </c>
    </row>
    <row r="21" ht="15.75" customHeight="1" spans="1:9">
      <c r="A21" s="36">
        <v>41</v>
      </c>
      <c r="B21" s="37">
        <v>0.00342</v>
      </c>
      <c r="C21" s="37">
        <f t="shared" si="0"/>
        <v>0.99658</v>
      </c>
      <c r="D21" s="38">
        <f t="shared" si="4"/>
        <v>96679.6491085211</v>
      </c>
      <c r="E21" s="38">
        <f t="shared" si="1"/>
        <v>330.644399951142</v>
      </c>
      <c r="F21" s="37">
        <v>0.00275</v>
      </c>
      <c r="G21" s="37">
        <f t="shared" si="2"/>
        <v>0.99725</v>
      </c>
      <c r="H21" s="38">
        <f t="shared" si="5"/>
        <v>97423.5145133305</v>
      </c>
      <c r="I21" s="38">
        <f t="shared" si="3"/>
        <v>267.914664911659</v>
      </c>
    </row>
    <row r="22" ht="15.75" customHeight="1" spans="1:9">
      <c r="A22" s="36">
        <v>42</v>
      </c>
      <c r="B22" s="37">
        <v>0.00371</v>
      </c>
      <c r="C22" s="37">
        <f t="shared" si="0"/>
        <v>0.99629</v>
      </c>
      <c r="D22" s="38">
        <f t="shared" si="4"/>
        <v>96349.00470857</v>
      </c>
      <c r="E22" s="38">
        <f t="shared" si="1"/>
        <v>357.454807468795</v>
      </c>
      <c r="F22" s="37">
        <v>0.00298</v>
      </c>
      <c r="G22" s="37">
        <f t="shared" si="2"/>
        <v>0.99702</v>
      </c>
      <c r="H22" s="38">
        <f t="shared" si="5"/>
        <v>97155.5998484188</v>
      </c>
      <c r="I22" s="38">
        <f t="shared" si="3"/>
        <v>289.523687548288</v>
      </c>
    </row>
    <row r="23" ht="15.75" customHeight="1" spans="1:9">
      <c r="A23" s="36">
        <v>43</v>
      </c>
      <c r="B23" s="37">
        <v>0.00403</v>
      </c>
      <c r="C23" s="37">
        <f t="shared" si="0"/>
        <v>0.99597</v>
      </c>
      <c r="D23" s="38">
        <f t="shared" si="4"/>
        <v>95991.5499011012</v>
      </c>
      <c r="E23" s="38">
        <f t="shared" si="1"/>
        <v>386.845946101438</v>
      </c>
      <c r="F23" s="37">
        <v>0.0032</v>
      </c>
      <c r="G23" s="37">
        <f t="shared" si="2"/>
        <v>0.9968</v>
      </c>
      <c r="H23" s="38">
        <f t="shared" si="5"/>
        <v>96866.0761608706</v>
      </c>
      <c r="I23" s="38">
        <f t="shared" si="3"/>
        <v>309.971443714786</v>
      </c>
    </row>
    <row r="24" ht="15.75" customHeight="1" spans="1:9">
      <c r="A24" s="36">
        <v>44</v>
      </c>
      <c r="B24" s="37">
        <v>0.00437</v>
      </c>
      <c r="C24" s="37">
        <f t="shared" si="0"/>
        <v>0.99563</v>
      </c>
      <c r="D24" s="38">
        <f t="shared" si="4"/>
        <v>95604.7039549998</v>
      </c>
      <c r="E24" s="38">
        <f t="shared" si="1"/>
        <v>417.792556283349</v>
      </c>
      <c r="F24" s="37">
        <v>0.00344</v>
      </c>
      <c r="G24" s="37">
        <f t="shared" si="2"/>
        <v>0.99656</v>
      </c>
      <c r="H24" s="38">
        <f t="shared" si="5"/>
        <v>96556.1047171558</v>
      </c>
      <c r="I24" s="38">
        <f t="shared" si="3"/>
        <v>332.153000227016</v>
      </c>
    </row>
    <row r="25" ht="15.75" customHeight="1" spans="1:9">
      <c r="A25" s="36">
        <v>45</v>
      </c>
      <c r="B25" s="37">
        <v>0.00473</v>
      </c>
      <c r="C25" s="37">
        <f t="shared" si="0"/>
        <v>0.99527</v>
      </c>
      <c r="D25" s="38">
        <f t="shared" si="4"/>
        <v>95186.9113987164</v>
      </c>
      <c r="E25" s="38">
        <f t="shared" si="1"/>
        <v>450.234090915929</v>
      </c>
      <c r="F25" s="37">
        <v>0.00368</v>
      </c>
      <c r="G25" s="37">
        <f t="shared" si="2"/>
        <v>0.99632</v>
      </c>
      <c r="H25" s="38">
        <f t="shared" si="5"/>
        <v>96223.9517169288</v>
      </c>
      <c r="I25" s="38">
        <f t="shared" si="3"/>
        <v>354.104142318298</v>
      </c>
    </row>
    <row r="26" ht="15.75" customHeight="1" spans="1:9">
      <c r="A26" s="36">
        <v>46</v>
      </c>
      <c r="B26" s="37">
        <v>0.00512</v>
      </c>
      <c r="C26" s="37">
        <f t="shared" si="0"/>
        <v>0.99488</v>
      </c>
      <c r="D26" s="38">
        <f t="shared" si="4"/>
        <v>94736.6773078005</v>
      </c>
      <c r="E26" s="38">
        <f t="shared" si="1"/>
        <v>485.051787815939</v>
      </c>
      <c r="F26" s="37">
        <v>0.00392</v>
      </c>
      <c r="G26" s="37">
        <f t="shared" si="2"/>
        <v>0.99608</v>
      </c>
      <c r="H26" s="38">
        <f t="shared" si="5"/>
        <v>95869.8475746105</v>
      </c>
      <c r="I26" s="38">
        <f t="shared" si="3"/>
        <v>375.809802492473</v>
      </c>
    </row>
    <row r="27" ht="15.75" customHeight="1" spans="1:9">
      <c r="A27" s="36">
        <v>47</v>
      </c>
      <c r="B27" s="37">
        <v>0.00553</v>
      </c>
      <c r="C27" s="37">
        <f t="shared" si="0"/>
        <v>0.99447</v>
      </c>
      <c r="D27" s="38">
        <f t="shared" si="4"/>
        <v>94251.6255199845</v>
      </c>
      <c r="E27" s="38">
        <f t="shared" si="1"/>
        <v>521.211489125515</v>
      </c>
      <c r="F27" s="37">
        <v>0.00419</v>
      </c>
      <c r="G27" s="37">
        <f t="shared" si="2"/>
        <v>0.99581</v>
      </c>
      <c r="H27" s="38">
        <f t="shared" si="5"/>
        <v>95494.037772118</v>
      </c>
      <c r="I27" s="38">
        <f t="shared" si="3"/>
        <v>400.120018265174</v>
      </c>
    </row>
    <row r="28" ht="15.75" customHeight="1" spans="1:9">
      <c r="A28" s="36">
        <v>48</v>
      </c>
      <c r="B28" s="37">
        <v>0.00597</v>
      </c>
      <c r="C28" s="37">
        <f t="shared" si="0"/>
        <v>0.99403</v>
      </c>
      <c r="D28" s="38">
        <f t="shared" si="4"/>
        <v>93730.414030859</v>
      </c>
      <c r="E28" s="38">
        <f t="shared" si="1"/>
        <v>559.570571764228</v>
      </c>
      <c r="F28" s="37">
        <v>0.00448</v>
      </c>
      <c r="G28" s="37">
        <f t="shared" si="2"/>
        <v>0.99552</v>
      </c>
      <c r="H28" s="38">
        <f t="shared" si="5"/>
        <v>95093.9177538528</v>
      </c>
      <c r="I28" s="38">
        <f t="shared" si="3"/>
        <v>426.020751537261</v>
      </c>
    </row>
    <row r="29" ht="15.75" customHeight="1" spans="1:9">
      <c r="A29" s="36">
        <v>49</v>
      </c>
      <c r="B29" s="37">
        <v>0.00646</v>
      </c>
      <c r="C29" s="37">
        <f t="shared" si="0"/>
        <v>0.99354</v>
      </c>
      <c r="D29" s="38">
        <f t="shared" si="4"/>
        <v>93170.8434590948</v>
      </c>
      <c r="E29" s="38">
        <f t="shared" si="1"/>
        <v>601.883648745752</v>
      </c>
      <c r="F29" s="37">
        <v>0.00479</v>
      </c>
      <c r="G29" s="37">
        <f t="shared" si="2"/>
        <v>0.99521</v>
      </c>
      <c r="H29" s="38">
        <f t="shared" si="5"/>
        <v>94667.8970023155</v>
      </c>
      <c r="I29" s="38">
        <f t="shared" si="3"/>
        <v>453.459226641091</v>
      </c>
    </row>
    <row r="30" ht="15.75" customHeight="1" spans="1:9">
      <c r="A30" s="36">
        <v>50</v>
      </c>
      <c r="B30" s="37">
        <v>0.007</v>
      </c>
      <c r="C30" s="37">
        <f t="shared" si="0"/>
        <v>0.993</v>
      </c>
      <c r="D30" s="38">
        <f t="shared" si="4"/>
        <v>92568.959810349</v>
      </c>
      <c r="E30" s="38">
        <f t="shared" si="1"/>
        <v>647.982718672443</v>
      </c>
      <c r="F30" s="37">
        <v>0.00513</v>
      </c>
      <c r="G30" s="37">
        <f t="shared" si="2"/>
        <v>0.99487</v>
      </c>
      <c r="H30" s="38">
        <f t="shared" si="5"/>
        <v>94214.4377756745</v>
      </c>
      <c r="I30" s="38">
        <f t="shared" si="3"/>
        <v>483.32006578921</v>
      </c>
    </row>
    <row r="32" spans="1:9">
      <c r="A32" s="39" t="s">
        <v>11</v>
      </c>
      <c r="B32" s="39"/>
      <c r="C32" s="39"/>
      <c r="D32" s="39"/>
      <c r="E32" s="39"/>
      <c r="F32" s="39"/>
      <c r="G32" s="39"/>
      <c r="H32" s="39"/>
      <c r="I32" s="39"/>
    </row>
  </sheetData>
  <mergeCells count="3">
    <mergeCell ref="A1:I1"/>
    <mergeCell ref="A2:I2"/>
    <mergeCell ref="A32:I3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showGridLines="0" topLeftCell="A19" workbookViewId="0">
      <selection activeCell="B37" sqref="B37"/>
    </sheetView>
  </sheetViews>
  <sheetFormatPr defaultColWidth="18.5555555555556" defaultRowHeight="14.4"/>
  <cols>
    <col min="1" max="1" width="35.5555555555556" customWidth="1"/>
    <col min="2" max="16384" width="18.5555555555556" customWidth="1"/>
  </cols>
  <sheetData>
    <row r="1" ht="17.4" spans="1:10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13</v>
      </c>
      <c r="B2" s="2"/>
      <c r="C2" s="2"/>
      <c r="D2" s="2"/>
      <c r="E2" s="2"/>
      <c r="F2" s="2"/>
      <c r="G2" s="2"/>
      <c r="H2" s="2"/>
      <c r="I2" s="2"/>
      <c r="J2" s="2"/>
    </row>
    <row r="4" ht="19.5" customHeight="1" spans="1:10">
      <c r="A4" s="3" t="s">
        <v>14</v>
      </c>
      <c r="B4" s="3"/>
      <c r="C4" s="3"/>
      <c r="D4" s="3"/>
    </row>
    <row r="5" ht="18" customHeight="1" spans="1:10">
      <c r="A5" s="29" t="s">
        <v>15</v>
      </c>
      <c r="B5" s="30">
        <v>30</v>
      </c>
      <c r="C5" s="31" t="s">
        <v>16</v>
      </c>
    </row>
    <row r="6" ht="18" customHeight="1" spans="1:10">
      <c r="A6" s="29" t="s">
        <v>17</v>
      </c>
      <c r="B6" s="30">
        <v>15</v>
      </c>
      <c r="C6" s="31" t="s">
        <v>16</v>
      </c>
    </row>
    <row r="7" ht="18" customHeight="1" spans="1:10">
      <c r="A7" s="29" t="s">
        <v>18</v>
      </c>
      <c r="B7" s="32">
        <v>800000000</v>
      </c>
      <c r="C7" s="31" t="s">
        <v>19</v>
      </c>
    </row>
    <row r="8" ht="18" customHeight="1" spans="1:10">
      <c r="A8" s="29" t="s">
        <v>20</v>
      </c>
      <c r="B8" s="33">
        <v>0.05</v>
      </c>
      <c r="C8" s="31" t="s">
        <v>21</v>
      </c>
    </row>
    <row r="9" ht="18" customHeight="1" spans="1:10">
      <c r="A9" s="29" t="s">
        <v>22</v>
      </c>
      <c r="B9" s="33">
        <v>0.2</v>
      </c>
      <c r="C9" s="31" t="s">
        <v>23</v>
      </c>
    </row>
    <row r="10" ht="18" customHeight="1" spans="1:10">
      <c r="A10" s="29" t="s">
        <v>24</v>
      </c>
      <c r="B10" s="33">
        <v>0.08</v>
      </c>
      <c r="C10" s="31" t="s">
        <v>25</v>
      </c>
    </row>
    <row r="11" ht="18" customHeight="1" spans="1:10">
      <c r="A11" s="29" t="s">
        <v>26</v>
      </c>
      <c r="B11" s="33">
        <v>1</v>
      </c>
      <c r="C11" s="31" t="s">
        <v>27</v>
      </c>
    </row>
    <row r="12" ht="7.5" customHeight="1"/>
    <row r="13" ht="19.5" customHeight="1" spans="1:10">
      <c r="A13" s="3" t="s">
        <v>28</v>
      </c>
      <c r="B13" s="3"/>
      <c r="C13" s="3"/>
      <c r="D13" s="3"/>
      <c r="E13" s="3"/>
      <c r="F13" s="3"/>
      <c r="G13" s="3"/>
      <c r="H13" s="3"/>
      <c r="I13" s="3"/>
      <c r="J13" s="3"/>
    </row>
    <row r="14" ht="39.75" customHeight="1" spans="1:10">
      <c r="A14" s="14" t="s">
        <v>29</v>
      </c>
      <c r="B14" s="14" t="s">
        <v>30</v>
      </c>
      <c r="C14" s="14" t="s">
        <v>31</v>
      </c>
      <c r="D14" s="14" t="s">
        <v>32</v>
      </c>
      <c r="E14" s="14" t="s">
        <v>33</v>
      </c>
      <c r="F14" s="14" t="s">
        <v>34</v>
      </c>
      <c r="G14" s="14" t="s">
        <v>35</v>
      </c>
      <c r="H14" s="14" t="s">
        <v>36</v>
      </c>
      <c r="I14" s="14" t="s">
        <v>37</v>
      </c>
      <c r="J14" s="14" t="s">
        <v>38</v>
      </c>
    </row>
    <row r="15" ht="16.5" customHeight="1" spans="1:10">
      <c r="A15" s="19">
        <v>1</v>
      </c>
      <c r="B15" s="20">
        <f t="shared" ref="B15:B29" si="0">$B$5+A15-1</f>
        <v>30</v>
      </c>
      <c r="C15" s="24">
        <f>INDEX('1_Mortality_Table'!$B$5:$B$30,MATCH(B15,'1_Mortality_Table'!$A$5:$A$30,0))*$B$11</f>
        <v>0.00175</v>
      </c>
      <c r="D15" s="24">
        <f t="shared" ref="D15:D29" si="1">1-C15</f>
        <v>0.99825</v>
      </c>
      <c r="E15" s="24">
        <f>D15</f>
        <v>0.99825</v>
      </c>
      <c r="F15" s="24">
        <f>E15*(1-$B$9)</f>
        <v>0.7986</v>
      </c>
      <c r="G15" s="24">
        <f t="shared" ref="G15:G29" si="2">1/(1+$B$8)^A15</f>
        <v>0.952380952380952</v>
      </c>
      <c r="H15" s="24">
        <f t="shared" ref="H15:H29" si="3">E15*G15</f>
        <v>0.950714285714286</v>
      </c>
      <c r="I15" s="24">
        <f t="shared" ref="I15:I29" si="4">F15*G15</f>
        <v>0.760571428571428</v>
      </c>
      <c r="J15" s="34" t="s">
        <v>39</v>
      </c>
    </row>
    <row r="16" ht="16.5" customHeight="1" spans="1:10">
      <c r="A16" s="19">
        <v>2</v>
      </c>
      <c r="B16" s="20">
        <f t="shared" si="0"/>
        <v>31</v>
      </c>
      <c r="C16" s="24">
        <f>INDEX('1_Mortality_Table'!$B$5:$B$30,MATCH(B16,'1_Mortality_Table'!$A$5:$A$30,0))*$B$11</f>
        <v>0.0018</v>
      </c>
      <c r="D16" s="24">
        <f t="shared" si="1"/>
        <v>0.9982</v>
      </c>
      <c r="E16" s="24">
        <f t="shared" ref="E16:E29" si="5">E15*D16</f>
        <v>0.99645315</v>
      </c>
      <c r="F16" s="24">
        <f t="shared" ref="F16:F29" si="6">F15*D16*(1-$B$10)</f>
        <v>0.7333895184</v>
      </c>
      <c r="G16" s="24">
        <f t="shared" si="2"/>
        <v>0.90702947845805</v>
      </c>
      <c r="H16" s="24">
        <f t="shared" si="3"/>
        <v>0.903812380952381</v>
      </c>
      <c r="I16" s="24">
        <f t="shared" si="4"/>
        <v>0.665205912380952</v>
      </c>
      <c r="J16" s="34" t="s">
        <v>39</v>
      </c>
    </row>
    <row r="17" ht="16.5" customHeight="1" spans="1:10">
      <c r="A17" s="19">
        <v>3</v>
      </c>
      <c r="B17" s="20">
        <f t="shared" si="0"/>
        <v>32</v>
      </c>
      <c r="C17" s="24">
        <f>INDEX('1_Mortality_Table'!$B$5:$B$30,MATCH(B17,'1_Mortality_Table'!$A$5:$A$30,0))*$B$11</f>
        <v>0.00187</v>
      </c>
      <c r="D17" s="24">
        <f t="shared" si="1"/>
        <v>0.99813</v>
      </c>
      <c r="E17" s="24">
        <f t="shared" si="5"/>
        <v>0.9945897826095</v>
      </c>
      <c r="F17" s="24">
        <f t="shared" si="6"/>
        <v>0.673456633600545</v>
      </c>
      <c r="G17" s="24">
        <f t="shared" si="2"/>
        <v>0.863837598531476</v>
      </c>
      <c r="H17" s="24">
        <f t="shared" si="3"/>
        <v>0.859164049333333</v>
      </c>
      <c r="I17" s="24">
        <f t="shared" si="4"/>
        <v>0.581757161084587</v>
      </c>
      <c r="J17" s="34" t="s">
        <v>39</v>
      </c>
    </row>
    <row r="18" ht="16.5" customHeight="1" spans="1:10">
      <c r="A18" s="19">
        <v>4</v>
      </c>
      <c r="B18" s="20">
        <f t="shared" si="0"/>
        <v>33</v>
      </c>
      <c r="C18" s="24">
        <f>INDEX('1_Mortality_Table'!$B$5:$B$30,MATCH(B18,'1_Mortality_Table'!$A$5:$A$30,0))*$B$11</f>
        <v>0.00195</v>
      </c>
      <c r="D18" s="24">
        <f t="shared" si="1"/>
        <v>0.99805</v>
      </c>
      <c r="E18" s="24">
        <f t="shared" si="5"/>
        <v>0.992650332533411</v>
      </c>
      <c r="F18" s="24">
        <f t="shared" si="6"/>
        <v>0.618371921711822</v>
      </c>
      <c r="G18" s="24">
        <f t="shared" si="2"/>
        <v>0.822702474791882</v>
      </c>
      <c r="H18" s="24">
        <f t="shared" si="3"/>
        <v>0.816655885178222</v>
      </c>
      <c r="I18" s="24">
        <f t="shared" si="4"/>
        <v>0.508736110334128</v>
      </c>
      <c r="J18" s="34" t="s">
        <v>39</v>
      </c>
    </row>
    <row r="19" ht="16.5" customHeight="1" spans="1:10">
      <c r="A19" s="19">
        <v>5</v>
      </c>
      <c r="B19" s="20">
        <f t="shared" si="0"/>
        <v>34</v>
      </c>
      <c r="C19" s="24">
        <f>INDEX('1_Mortality_Table'!$B$5:$B$30,MATCH(B19,'1_Mortality_Table'!$A$5:$A$30,0))*$B$11</f>
        <v>0.00205</v>
      </c>
      <c r="D19" s="24">
        <f t="shared" si="1"/>
        <v>0.99795</v>
      </c>
      <c r="E19" s="24">
        <f t="shared" si="5"/>
        <v>0.990615399351718</v>
      </c>
      <c r="F19" s="24">
        <f t="shared" si="6"/>
        <v>0.567735918530528</v>
      </c>
      <c r="G19" s="24">
        <f t="shared" si="2"/>
        <v>0.783526166468459</v>
      </c>
      <c r="H19" s="24">
        <f t="shared" si="3"/>
        <v>0.776173086298673</v>
      </c>
      <c r="I19" s="24">
        <f t="shared" si="4"/>
        <v>0.444835947812674</v>
      </c>
      <c r="J19" s="34" t="s">
        <v>39</v>
      </c>
    </row>
    <row r="20" ht="16.5" customHeight="1" spans="1:10">
      <c r="A20" s="19">
        <v>6</v>
      </c>
      <c r="B20" s="20">
        <f t="shared" si="0"/>
        <v>35</v>
      </c>
      <c r="C20" s="24">
        <f>INDEX('1_Mortality_Table'!$B$5:$B$30,MATCH(B20,'1_Mortality_Table'!$A$5:$A$30,0))*$B$11</f>
        <v>0.00217</v>
      </c>
      <c r="D20" s="24">
        <f t="shared" si="1"/>
        <v>0.99783</v>
      </c>
      <c r="E20" s="24">
        <f t="shared" si="5"/>
        <v>0.988465763935125</v>
      </c>
      <c r="F20" s="24">
        <f t="shared" si="6"/>
        <v>0.521183617060331</v>
      </c>
      <c r="G20" s="24">
        <f t="shared" si="2"/>
        <v>0.746215396636627</v>
      </c>
      <c r="H20" s="24">
        <f t="shared" si="3"/>
        <v>0.737608372096576</v>
      </c>
      <c r="I20" s="24">
        <f t="shared" si="4"/>
        <v>0.388915239525187</v>
      </c>
      <c r="J20" s="34" t="s">
        <v>39</v>
      </c>
    </row>
    <row r="21" ht="16.5" customHeight="1" spans="1:10">
      <c r="A21" s="19">
        <v>7</v>
      </c>
      <c r="B21" s="20">
        <f t="shared" si="0"/>
        <v>36</v>
      </c>
      <c r="C21" s="24">
        <f>INDEX('1_Mortality_Table'!$B$5:$B$30,MATCH(B21,'1_Mortality_Table'!$A$5:$A$30,0))*$B$11</f>
        <v>0.00232</v>
      </c>
      <c r="D21" s="24">
        <f t="shared" si="1"/>
        <v>0.99768</v>
      </c>
      <c r="E21" s="24">
        <f t="shared" si="5"/>
        <v>0.986172523362795</v>
      </c>
      <c r="F21" s="24">
        <f t="shared" si="6"/>
        <v>0.478376513383251</v>
      </c>
      <c r="G21" s="24">
        <f t="shared" si="2"/>
        <v>0.710681330130121</v>
      </c>
      <c r="H21" s="24">
        <f t="shared" si="3"/>
        <v>0.700854400641249</v>
      </c>
      <c r="I21" s="24">
        <f t="shared" si="4"/>
        <v>0.339973256834219</v>
      </c>
      <c r="J21" s="34" t="s">
        <v>39</v>
      </c>
    </row>
    <row r="22" ht="16.5" customHeight="1" spans="1:10">
      <c r="A22" s="19">
        <v>8</v>
      </c>
      <c r="B22" s="20">
        <f t="shared" si="0"/>
        <v>37</v>
      </c>
      <c r="C22" s="24">
        <f>INDEX('1_Mortality_Table'!$B$5:$B$30,MATCH(B22,'1_Mortality_Table'!$A$5:$A$30,0))*$B$11</f>
        <v>0.00249</v>
      </c>
      <c r="D22" s="24">
        <f t="shared" si="1"/>
        <v>0.99751</v>
      </c>
      <c r="E22" s="24">
        <f t="shared" si="5"/>
        <v>0.983716953779622</v>
      </c>
      <c r="F22" s="24">
        <f t="shared" si="6"/>
        <v>0.439010527395733</v>
      </c>
      <c r="G22" s="24">
        <f t="shared" si="2"/>
        <v>0.676839362028687</v>
      </c>
      <c r="H22" s="24">
        <f t="shared" si="3"/>
        <v>0.665818355413003</v>
      </c>
      <c r="I22" s="24">
        <f t="shared" si="4"/>
        <v>0.297139605286405</v>
      </c>
      <c r="J22" s="34" t="s">
        <v>39</v>
      </c>
    </row>
    <row r="23" ht="16.5" customHeight="1" spans="1:10">
      <c r="A23" s="19">
        <v>9</v>
      </c>
      <c r="B23" s="20">
        <f t="shared" si="0"/>
        <v>38</v>
      </c>
      <c r="C23" s="24">
        <f>INDEX('1_Mortality_Table'!$B$5:$B$30,MATCH(B23,'1_Mortality_Table'!$A$5:$A$30,0))*$B$11</f>
        <v>0.00268</v>
      </c>
      <c r="D23" s="24">
        <f t="shared" si="1"/>
        <v>0.99732</v>
      </c>
      <c r="E23" s="24">
        <f t="shared" si="5"/>
        <v>0.981080592343492</v>
      </c>
      <c r="F23" s="24">
        <f t="shared" si="6"/>
        <v>0.402807260847727</v>
      </c>
      <c r="G23" s="24">
        <f t="shared" si="2"/>
        <v>0.644608916217797</v>
      </c>
      <c r="H23" s="24">
        <f t="shared" si="3"/>
        <v>0.632413297352853</v>
      </c>
      <c r="I23" s="24">
        <f t="shared" si="4"/>
        <v>0.259653151859713</v>
      </c>
      <c r="J23" s="34" t="s">
        <v>39</v>
      </c>
    </row>
    <row r="24" ht="16.5" customHeight="1" spans="1:10">
      <c r="A24" s="19">
        <v>10</v>
      </c>
      <c r="B24" s="20">
        <f t="shared" si="0"/>
        <v>39</v>
      </c>
      <c r="C24" s="24">
        <f>INDEX('1_Mortality_Table'!$B$5:$B$30,MATCH(B24,'1_Mortality_Table'!$A$5:$A$30,0))*$B$11</f>
        <v>0.0029</v>
      </c>
      <c r="D24" s="24">
        <f t="shared" si="1"/>
        <v>0.9971</v>
      </c>
      <c r="E24" s="24">
        <f t="shared" si="5"/>
        <v>0.978235458625696</v>
      </c>
      <c r="F24" s="24">
        <f t="shared" si="6"/>
        <v>0.369507990207967</v>
      </c>
      <c r="G24" s="24">
        <f t="shared" si="2"/>
        <v>0.613913253540759</v>
      </c>
      <c r="H24" s="24">
        <f t="shared" si="3"/>
        <v>0.600551713133838</v>
      </c>
      <c r="I24" s="24">
        <f t="shared" si="4"/>
        <v>0.22684585247788</v>
      </c>
      <c r="J24" s="34" t="s">
        <v>39</v>
      </c>
    </row>
    <row r="25" ht="16.5" customHeight="1" spans="1:10">
      <c r="A25" s="19">
        <v>11</v>
      </c>
      <c r="B25" s="20">
        <f t="shared" si="0"/>
        <v>40</v>
      </c>
      <c r="C25" s="24">
        <f>INDEX('1_Mortality_Table'!$B$5:$B$30,MATCH(B25,'1_Mortality_Table'!$A$5:$A$30,0))*$B$11</f>
        <v>0.00315</v>
      </c>
      <c r="D25" s="24">
        <f t="shared" si="1"/>
        <v>0.99685</v>
      </c>
      <c r="E25" s="24">
        <f t="shared" si="5"/>
        <v>0.975154016931025</v>
      </c>
      <c r="F25" s="24">
        <f t="shared" si="6"/>
        <v>0.338876516835707</v>
      </c>
      <c r="G25" s="24">
        <f t="shared" si="2"/>
        <v>0.584679289086437</v>
      </c>
      <c r="H25" s="24">
        <f t="shared" si="3"/>
        <v>0.570152357369015</v>
      </c>
      <c r="I25" s="24">
        <f t="shared" si="4"/>
        <v>0.198134080951589</v>
      </c>
      <c r="J25" s="34" t="s">
        <v>39</v>
      </c>
    </row>
    <row r="26" ht="16.5" customHeight="1" spans="1:10">
      <c r="A26" s="19">
        <v>12</v>
      </c>
      <c r="B26" s="20">
        <f t="shared" si="0"/>
        <v>41</v>
      </c>
      <c r="C26" s="24">
        <f>INDEX('1_Mortality_Table'!$B$5:$B$30,MATCH(B26,'1_Mortality_Table'!$A$5:$A$30,0))*$B$11</f>
        <v>0.00342</v>
      </c>
      <c r="D26" s="24">
        <f t="shared" si="1"/>
        <v>0.99658</v>
      </c>
      <c r="E26" s="24">
        <f t="shared" si="5"/>
        <v>0.971818990193121</v>
      </c>
      <c r="F26" s="24">
        <f t="shared" si="6"/>
        <v>0.310700154416279</v>
      </c>
      <c r="G26" s="24">
        <f t="shared" si="2"/>
        <v>0.556837418177559</v>
      </c>
      <c r="H26" s="24">
        <f t="shared" si="3"/>
        <v>0.54114517743506</v>
      </c>
      <c r="I26" s="24">
        <f t="shared" si="4"/>
        <v>0.17300947181253</v>
      </c>
      <c r="J26" s="34" t="s">
        <v>39</v>
      </c>
    </row>
    <row r="27" ht="16.5" customHeight="1" spans="1:10">
      <c r="A27" s="19">
        <v>13</v>
      </c>
      <c r="B27" s="20">
        <f t="shared" si="0"/>
        <v>42</v>
      </c>
      <c r="C27" s="24">
        <f>INDEX('1_Mortality_Table'!$B$5:$B$30,MATCH(B27,'1_Mortality_Table'!$A$5:$A$30,0))*$B$11</f>
        <v>0.00371</v>
      </c>
      <c r="D27" s="24">
        <f t="shared" si="1"/>
        <v>0.99629</v>
      </c>
      <c r="E27" s="24">
        <f t="shared" si="5"/>
        <v>0.968213541739505</v>
      </c>
      <c r="F27" s="24">
        <f t="shared" si="6"/>
        <v>0.284783660295923</v>
      </c>
      <c r="G27" s="24">
        <f t="shared" si="2"/>
        <v>0.530321350645295</v>
      </c>
      <c r="H27" s="24">
        <f t="shared" si="3"/>
        <v>0.513464313168358</v>
      </c>
      <c r="I27" s="24">
        <f t="shared" si="4"/>
        <v>0.151026855369845</v>
      </c>
      <c r="J27" s="34" t="s">
        <v>39</v>
      </c>
    </row>
    <row r="28" ht="16.5" customHeight="1" spans="1:10">
      <c r="A28" s="19">
        <v>14</v>
      </c>
      <c r="B28" s="20">
        <f t="shared" si="0"/>
        <v>43</v>
      </c>
      <c r="C28" s="24">
        <f>INDEX('1_Mortality_Table'!$B$5:$B$30,MATCH(B28,'1_Mortality_Table'!$A$5:$A$30,0))*$B$11</f>
        <v>0.00403</v>
      </c>
      <c r="D28" s="24">
        <f t="shared" si="1"/>
        <v>0.99597</v>
      </c>
      <c r="E28" s="24">
        <f t="shared" si="5"/>
        <v>0.964311641166295</v>
      </c>
      <c r="F28" s="24">
        <f t="shared" si="6"/>
        <v>0.260945103573336</v>
      </c>
      <c r="G28" s="24">
        <f t="shared" si="2"/>
        <v>0.505067952995519</v>
      </c>
      <c r="H28" s="24">
        <f t="shared" si="3"/>
        <v>0.48704290665361</v>
      </c>
      <c r="I28" s="24">
        <f t="shared" si="4"/>
        <v>0.131795009305988</v>
      </c>
      <c r="J28" s="34" t="s">
        <v>39</v>
      </c>
    </row>
    <row r="29" ht="16.5" customHeight="1" spans="1:10">
      <c r="A29" s="19">
        <v>15</v>
      </c>
      <c r="B29" s="20">
        <f t="shared" si="0"/>
        <v>44</v>
      </c>
      <c r="C29" s="24">
        <f>INDEX('1_Mortality_Table'!$B$5:$B$30,MATCH(B29,'1_Mortality_Table'!$A$5:$A$30,0))*$B$11</f>
        <v>0.00437</v>
      </c>
      <c r="D29" s="24">
        <f t="shared" si="1"/>
        <v>0.99563</v>
      </c>
      <c r="E29" s="24">
        <f t="shared" si="5"/>
        <v>0.960097599294398</v>
      </c>
      <c r="F29" s="24">
        <f t="shared" si="6"/>
        <v>0.239020391593063</v>
      </c>
      <c r="G29" s="24">
        <f t="shared" si="2"/>
        <v>0.48101709809097</v>
      </c>
      <c r="H29" s="24">
        <f t="shared" si="3"/>
        <v>0.461823361096698</v>
      </c>
      <c r="I29" s="24">
        <f t="shared" si="4"/>
        <v>0.114972895148662</v>
      </c>
      <c r="J29" s="34" t="s">
        <v>39</v>
      </c>
    </row>
    <row r="31" ht="7.5" customHeight="1"/>
    <row r="32" ht="19.5" customHeight="1" spans="1:10">
      <c r="A32" s="3" t="s">
        <v>40</v>
      </c>
      <c r="B32" s="3"/>
      <c r="C32" s="3"/>
      <c r="D32" s="3"/>
      <c r="E32" s="3"/>
      <c r="F32" s="3"/>
    </row>
    <row r="33" ht="19.5" customHeight="1" spans="1:4">
      <c r="A33" s="29" t="s">
        <v>41</v>
      </c>
      <c r="B33" s="25">
        <f>SUM(H15:H29)</f>
        <v>10.2173939418372</v>
      </c>
      <c r="C33" s="31" t="s">
        <v>42</v>
      </c>
    </row>
    <row r="34" ht="19.5" customHeight="1" spans="1:4">
      <c r="A34" s="29" t="s">
        <v>43</v>
      </c>
      <c r="B34" s="25">
        <f>SUM(I15:I29)</f>
        <v>5.24257197875579</v>
      </c>
      <c r="C34" s="31" t="s">
        <v>42</v>
      </c>
    </row>
    <row r="35" ht="19.5" customHeight="1" spans="1:4">
      <c r="A35" s="29" t="s">
        <v>44</v>
      </c>
      <c r="B35" s="24">
        <f>E29</f>
        <v>0.960097599294398</v>
      </c>
      <c r="C35" s="31" t="s">
        <v>45</v>
      </c>
    </row>
    <row r="36" ht="19.5" customHeight="1" spans="1:4">
      <c r="A36" s="4" t="s">
        <v>46</v>
      </c>
      <c r="B36" s="26">
        <f>$B$7*E29*G29</f>
        <v>369458688.877359</v>
      </c>
      <c r="C36" s="31" t="s">
        <v>19</v>
      </c>
    </row>
    <row r="37" ht="19.5" customHeight="1" spans="1:4">
      <c r="A37" s="4" t="s">
        <v>47</v>
      </c>
      <c r="B37" s="26">
        <v>36284823</v>
      </c>
      <c r="C37" s="31" t="s">
        <v>48</v>
      </c>
      <c r="D37" s="35" t="s">
        <v>49</v>
      </c>
    </row>
    <row r="38" ht="19.5" customHeight="1" spans="1:4">
      <c r="A38" s="4" t="s">
        <v>50</v>
      </c>
      <c r="B38" s="26">
        <f>B36/B34</f>
        <v>70472792.8151483</v>
      </c>
      <c r="C38" s="31" t="s">
        <v>48</v>
      </c>
    </row>
    <row r="39" ht="19.5" customHeight="1" spans="1:4">
      <c r="A39" s="29" t="s">
        <v>51</v>
      </c>
      <c r="B39" s="27">
        <f>B38/300000000</f>
        <v>0.234909309383828</v>
      </c>
      <c r="C39" s="31" t="s">
        <v>52</v>
      </c>
    </row>
  </sheetData>
  <mergeCells count="5">
    <mergeCell ref="A1:J1"/>
    <mergeCell ref="A2:J2"/>
    <mergeCell ref="A4:D4"/>
    <mergeCell ref="A13:J13"/>
    <mergeCell ref="A32:F3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showGridLines="0" topLeftCell="A3" workbookViewId="0">
      <selection activeCell="D7" sqref="D7"/>
    </sheetView>
  </sheetViews>
  <sheetFormatPr defaultColWidth="8.67592592592593" defaultRowHeight="14.4" outlineLevelCol="6"/>
  <cols>
    <col min="1" max="1" width="18" customWidth="1"/>
    <col min="2" max="3" width="14" customWidth="1"/>
    <col min="4" max="6" width="16" customWidth="1"/>
    <col min="7" max="7" width="22" customWidth="1"/>
  </cols>
  <sheetData>
    <row r="1" ht="17.4" spans="1:7">
      <c r="A1" s="1" t="s">
        <v>53</v>
      </c>
      <c r="B1" s="1"/>
      <c r="C1" s="1"/>
      <c r="D1" s="1"/>
      <c r="E1" s="1"/>
      <c r="F1" s="1"/>
      <c r="G1" s="1"/>
    </row>
    <row r="2" spans="1:7">
      <c r="A2" s="2" t="s">
        <v>54</v>
      </c>
      <c r="B2" s="2"/>
      <c r="C2" s="2"/>
      <c r="D2" s="2"/>
      <c r="E2" s="2"/>
      <c r="F2" s="2"/>
      <c r="G2" s="2"/>
    </row>
    <row r="4" ht="19.5" customHeight="1" spans="1:7">
      <c r="A4" s="3" t="s">
        <v>55</v>
      </c>
      <c r="B4" s="3"/>
      <c r="C4" s="3"/>
      <c r="D4" s="3"/>
      <c r="E4" s="3"/>
      <c r="F4" s="3"/>
      <c r="G4" s="3"/>
    </row>
    <row r="5" ht="39.75" customHeight="1" spans="1:7">
      <c r="A5" s="14" t="s">
        <v>29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</row>
    <row r="6" ht="16.5" customHeight="1" spans="1:7">
      <c r="A6" s="19">
        <v>0</v>
      </c>
      <c r="B6" s="20">
        <f>'2_Pricing_Engine'!$B$5+0</f>
        <v>30</v>
      </c>
      <c r="C6" s="21" t="s">
        <v>62</v>
      </c>
      <c r="D6" s="21" t="s">
        <v>62</v>
      </c>
      <c r="E6" s="21" t="s">
        <v>62</v>
      </c>
      <c r="F6" s="22">
        <v>0</v>
      </c>
      <c r="G6" s="23" t="s">
        <v>63</v>
      </c>
    </row>
    <row r="7" ht="16.5" customHeight="1" spans="1:7">
      <c r="A7" s="19">
        <v>1</v>
      </c>
      <c r="B7" s="20">
        <f>'2_Pricing_Engine'!$B$5+1</f>
        <v>31</v>
      </c>
      <c r="C7" s="24">
        <f>'2_Pricing_Engine'!E15</f>
        <v>0.99825</v>
      </c>
      <c r="D7" s="25">
        <f>'2_Pricing_Engine'!$B$7*('2_Pricing_Engine'!E29/'2_Pricing_Engine'!E15)*(1+'2_Pricing_Engine'!$B$8)^(-14)</f>
        <v>388611693.785351</v>
      </c>
      <c r="E7" s="25">
        <f>'2_Pricing_Engine'!$B$37*('2_Pricing_Engine'!$B$32-SUM('2_Pricing_Engine'!H15:H15))/'2_Pricing_Engine'!E15</f>
        <v>-34556974.2857143</v>
      </c>
      <c r="F7" s="26">
        <f>((F6+36159777)*1.05-800000000*('1_Mortality_Table'!B10/100000)/('1_Mortality_Table'!C10/100))</f>
        <v>37966363.395705</v>
      </c>
      <c r="G7" s="27">
        <f>F7/'2_Pricing_Engine'!$B$7</f>
        <v>0.0474579542446312</v>
      </c>
    </row>
    <row r="8" ht="16.5" customHeight="1" spans="1:7">
      <c r="A8" s="19">
        <v>2</v>
      </c>
      <c r="B8" s="20">
        <f>'2_Pricing_Engine'!$B$5+2</f>
        <v>32</v>
      </c>
      <c r="C8" s="24">
        <f>'2_Pricing_Engine'!E16</f>
        <v>0.99645315</v>
      </c>
      <c r="D8" s="25">
        <f>'2_Pricing_Engine'!$B$7*('2_Pricing_Engine'!E29/'2_Pricing_Engine'!E16)*(1+'2_Pricing_Engine'!$B$8)^(-13)</f>
        <v>408778079.016849</v>
      </c>
      <c r="E8" s="25">
        <f>'2_Pricing_Engine'!$B$37*('2_Pricing_Engine'!$B$32-SUM('2_Pricing_Engine'!H15:H16))/'2_Pricing_Engine'!E16</f>
        <v>-67530693.0875576</v>
      </c>
      <c r="F8" s="26">
        <f>((F7+36159777)*1.05-800000000*('1_Mortality_Table'!B11/100000)/('1_Mortality_Table'!C11/100))</f>
        <v>77831004.8188162</v>
      </c>
      <c r="G8" s="27">
        <f>F8/'2_Pricing_Engine'!$B$7</f>
        <v>0.0972887560235203</v>
      </c>
    </row>
    <row r="9" ht="16.5" customHeight="1" spans="1:7">
      <c r="A9" s="19">
        <v>3</v>
      </c>
      <c r="B9" s="20">
        <f>'2_Pricing_Engine'!$B$5+3</f>
        <v>33</v>
      </c>
      <c r="C9" s="24">
        <f>'2_Pricing_Engine'!E17</f>
        <v>0.9945897826095</v>
      </c>
      <c r="D9" s="25">
        <f>'2_Pricing_Engine'!$B$7*('2_Pricing_Engine'!E29/'2_Pricing_Engine'!E17)*(1+'2_Pricing_Engine'!$B$8)^(-12)</f>
        <v>430021122.466704</v>
      </c>
      <c r="E9" s="25">
        <f>'2_Pricing_Engine'!$B$37*('2_Pricing_Engine'!$B$32-SUM('2_Pricing_Engine'!H15:H17))/'2_Pricing_Engine'!E17</f>
        <v>-99001406.4375959</v>
      </c>
      <c r="F9" s="26">
        <f>((F8+36159777)*1.05-800000000*('1_Mortality_Table'!B12/100000)/('1_Mortality_Table'!C12/100))</f>
        <v>119688822.106996</v>
      </c>
      <c r="G9" s="27">
        <f>F9/'2_Pricing_Engine'!$B$7</f>
        <v>0.149611027633745</v>
      </c>
    </row>
    <row r="10" ht="16.5" customHeight="1" spans="1:7">
      <c r="A10" s="19">
        <v>4</v>
      </c>
      <c r="B10" s="20">
        <f>'2_Pricing_Engine'!$B$5+4</f>
        <v>34</v>
      </c>
      <c r="C10" s="24">
        <f>'2_Pricing_Engine'!E18</f>
        <v>0.992650332533411</v>
      </c>
      <c r="D10" s="25">
        <f>'2_Pricing_Engine'!$B$7*('2_Pricing_Engine'!E29/'2_Pricing_Engine'!E18)*(1+'2_Pricing_Engine'!$B$8)^(-11)</f>
        <v>452404367.105896</v>
      </c>
      <c r="E10" s="25">
        <f>'2_Pricing_Engine'!$B$37*('2_Pricing_Engine'!$B$32-SUM('2_Pricing_Engine'!H15:H18))/'2_Pricing_Engine'!E18</f>
        <v>-129046450.048</v>
      </c>
      <c r="F10" s="26">
        <f>((F9+36159777)*1.05-800000000*('1_Mortality_Table'!B13/100000)/('1_Mortality_Table'!C13/100))</f>
        <v>163639466.014402</v>
      </c>
      <c r="G10" s="27">
        <f>F10/'2_Pricing_Engine'!$B$7</f>
        <v>0.204549332518003</v>
      </c>
    </row>
    <row r="11" ht="16.5" customHeight="1" spans="1:7">
      <c r="A11" s="19">
        <v>5</v>
      </c>
      <c r="B11" s="20">
        <f>'2_Pricing_Engine'!$B$5+5</f>
        <v>35</v>
      </c>
      <c r="C11" s="24">
        <f>'2_Pricing_Engine'!E19</f>
        <v>0.990615399351718</v>
      </c>
      <c r="D11" s="25">
        <f>'2_Pricing_Engine'!$B$7*('2_Pricing_Engine'!E29/'2_Pricing_Engine'!E19)*(1+'2_Pricing_Engine'!$B$8)^(-10)</f>
        <v>476000386.253009</v>
      </c>
      <c r="E11" s="25">
        <f>'2_Pricing_Engine'!$B$37*('2_Pricing_Engine'!$B$32-SUM('2_Pricing_Engine'!H15:H19))/'2_Pricing_Engine'!E19</f>
        <v>-157741646.968516</v>
      </c>
      <c r="F11" s="26">
        <f>((F10+36159777)*1.05-800000000*('1_Mortality_Table'!B14/100000)/('1_Mortality_Table'!C14/100))</f>
        <v>209787561.796216</v>
      </c>
      <c r="G11" s="27">
        <f>F11/'2_Pricing_Engine'!$B$7</f>
        <v>0.26223445224527</v>
      </c>
    </row>
    <row r="12" ht="16.5" customHeight="1" spans="1:7">
      <c r="A12" s="19">
        <v>6</v>
      </c>
      <c r="B12" s="20">
        <f>'2_Pricing_Engine'!$B$5+6</f>
        <v>36</v>
      </c>
      <c r="C12" s="24">
        <f>'2_Pricing_Engine'!E20</f>
        <v>0.988465763935125</v>
      </c>
      <c r="D12" s="25">
        <f>'2_Pricing_Engine'!$B$7*('2_Pricing_Engine'!E29/'2_Pricing_Engine'!E20)*(1+'2_Pricing_Engine'!$B$8)^(-9)</f>
        <v>500887331.07409</v>
      </c>
      <c r="E12" s="25">
        <f>'2_Pricing_Engine'!$B$37*('2_Pricing_Engine'!$B$32-SUM('2_Pricing_Engine'!H15:H20))/'2_Pricing_Engine'!E20</f>
        <v>-185160984.334273</v>
      </c>
      <c r="F12" s="26">
        <f>((F11+36159777)*1.05-800000000*('1_Mortality_Table'!B15/100000)/('1_Mortality_Table'!C15/100))</f>
        <v>258242965.960714</v>
      </c>
      <c r="G12" s="27">
        <f>F12/'2_Pricing_Engine'!$B$7</f>
        <v>0.322803707450893</v>
      </c>
    </row>
    <row r="13" ht="16.5" customHeight="1" spans="1:7">
      <c r="A13" s="19">
        <v>7</v>
      </c>
      <c r="B13" s="20">
        <f>'2_Pricing_Engine'!$B$5+7</f>
        <v>37</v>
      </c>
      <c r="C13" s="24">
        <f>'2_Pricing_Engine'!E21</f>
        <v>0.986172523362795</v>
      </c>
      <c r="D13" s="25">
        <f>'2_Pricing_Engine'!$B$7*('2_Pricing_Engine'!E29/'2_Pricing_Engine'!E21)*(1+'2_Pricing_Engine'!$B$8)^(-8)</f>
        <v>527154696.52373</v>
      </c>
      <c r="E13" s="25">
        <f>'2_Pricing_Engine'!$B$37*('2_Pricing_Engine'!$B$32-SUM('2_Pricing_Engine'!H15:H21))/'2_Pricing_Engine'!E21</f>
        <v>-211378503.0191</v>
      </c>
      <c r="F13" s="26">
        <f>((F12+36159777)*1.05-800000000*('1_Mortality_Table'!B16/100000)/('1_Mortality_Table'!C16/100))</f>
        <v>309121019.792817</v>
      </c>
      <c r="G13" s="27">
        <f>F13/'2_Pricing_Engine'!$B$7</f>
        <v>0.386401274741022</v>
      </c>
    </row>
    <row r="14" ht="16.5" customHeight="1" spans="1:7">
      <c r="A14" s="19">
        <v>8</v>
      </c>
      <c r="B14" s="20">
        <f>'2_Pricing_Engine'!$B$5+8</f>
        <v>38</v>
      </c>
      <c r="C14" s="24">
        <f>'2_Pricing_Engine'!E22</f>
        <v>0.983716953779622</v>
      </c>
      <c r="D14" s="25">
        <f>'2_Pricing_Engine'!$B$7*('2_Pricing_Engine'!E29/'2_Pricing_Engine'!E22)*(1+'2_Pricing_Engine'!$B$8)^(-7)</f>
        <v>554894117.702997</v>
      </c>
      <c r="E14" s="25">
        <f>'2_Pricing_Engine'!$B$37*('2_Pricing_Engine'!$B$32-SUM('2_Pricing_Engine'!H15:H22))/'2_Pricing_Engine'!E22</f>
        <v>-236465145.781577</v>
      </c>
      <c r="F14" s="26">
        <f>((F13+36159777)*1.05-800000000*('1_Mortality_Table'!B17/100000)/('1_Mortality_Table'!C17/100))</f>
        <v>362542839.659997</v>
      </c>
      <c r="G14" s="27">
        <f>F14/'2_Pricing_Engine'!$B$7</f>
        <v>0.453178549574996</v>
      </c>
    </row>
    <row r="15" ht="16.5" customHeight="1" spans="1:7">
      <c r="A15" s="19">
        <v>9</v>
      </c>
      <c r="B15" s="20">
        <f>'2_Pricing_Engine'!$B$5+9</f>
        <v>39</v>
      </c>
      <c r="C15" s="24">
        <f>'2_Pricing_Engine'!E23</f>
        <v>0.981080592343492</v>
      </c>
      <c r="D15" s="25">
        <f>'2_Pricing_Engine'!$B$7*('2_Pricing_Engine'!E29/'2_Pricing_Engine'!E23)*(1+'2_Pricing_Engine'!$B$8)^(-6)</f>
        <v>584204491.625704</v>
      </c>
      <c r="E15" s="25">
        <f>'2_Pricing_Engine'!$B$37*('2_Pricing_Engine'!$B$32-SUM('2_Pricing_Engine'!H15:H23))/'2_Pricing_Engine'!E23</f>
        <v>-260490095.752629</v>
      </c>
      <c r="F15" s="26">
        <f>((F14+36159777)*1.05-800000000*('1_Mortality_Table'!B18/100000)/('1_Mortality_Table'!C18/100))</f>
        <v>418635597.731636</v>
      </c>
      <c r="G15" s="27">
        <f>F15/'2_Pricing_Engine'!$B$7</f>
        <v>0.523294497164545</v>
      </c>
    </row>
    <row r="16" ht="16.5" customHeight="1" spans="1:7">
      <c r="A16" s="19">
        <v>10</v>
      </c>
      <c r="B16" s="20">
        <f>'2_Pricing_Engine'!$B$5+10</f>
        <v>40</v>
      </c>
      <c r="C16" s="24">
        <f>'2_Pricing_Engine'!E24</f>
        <v>0.978235458625696</v>
      </c>
      <c r="D16" s="25">
        <f>'2_Pricing_Engine'!$B$7*('2_Pricing_Engine'!E29/'2_Pricing_Engine'!E24)*(1+'2_Pricing_Engine'!$B$8)^(-5)</f>
        <v>615198792.705836</v>
      </c>
      <c r="E16" s="25">
        <f>'2_Pricing_Engine'!$B$37*('2_Pricing_Engine'!$B$32-SUM('2_Pricing_Engine'!H15:H24))/'2_Pricing_Engine'!E24</f>
        <v>-283523447.865668</v>
      </c>
      <c r="F16" s="26">
        <f>((F15+36159777)*1.05-800000000*('1_Mortality_Table'!B19/100000)/('1_Mortality_Table'!C19/100))</f>
        <v>477532816.72065</v>
      </c>
      <c r="G16" s="27">
        <f>F16/'2_Pricing_Engine'!$B$7</f>
        <v>0.596916020900812</v>
      </c>
    </row>
    <row r="17" ht="16.5" customHeight="1" spans="1:7">
      <c r="A17" s="19">
        <v>11</v>
      </c>
      <c r="B17" s="20">
        <f>'2_Pricing_Engine'!$B$5+11</f>
        <v>41</v>
      </c>
      <c r="C17" s="24">
        <f>'2_Pricing_Engine'!E25</f>
        <v>0.975154016931025</v>
      </c>
      <c r="D17" s="25">
        <f>'2_Pricing_Engine'!$B$7*('2_Pricing_Engine'!E29/'2_Pricing_Engine'!E25)*(1+'2_Pricing_Engine'!$B$8)^(-4)</f>
        <v>647999932.127329</v>
      </c>
      <c r="E17" s="25">
        <f>'2_Pricing_Engine'!$B$37*('2_Pricing_Engine'!$B$32-SUM('2_Pricing_Engine'!H15:H25))/'2_Pricing_Engine'!E25</f>
        <v>-305634353.3939</v>
      </c>
      <c r="F17" s="26">
        <f>((F16+36159777)*1.05-800000000*('1_Mortality_Table'!B20/100000)/('1_Mortality_Table'!C20/100))</f>
        <v>539374695.443599</v>
      </c>
      <c r="G17" s="27">
        <f>F17/'2_Pricing_Engine'!$B$7</f>
        <v>0.674218369304498</v>
      </c>
    </row>
    <row r="18" ht="16.5" customHeight="1" spans="1:7">
      <c r="A18" s="19">
        <v>12</v>
      </c>
      <c r="B18" s="20">
        <f>'2_Pricing_Engine'!$B$5+12</f>
        <v>42</v>
      </c>
      <c r="C18" s="24">
        <f>'2_Pricing_Engine'!E26</f>
        <v>0.971818990193121</v>
      </c>
      <c r="D18" s="25">
        <f>'2_Pricing_Engine'!$B$7*('2_Pricing_Engine'!E29/'2_Pricing_Engine'!E26)*(1+'2_Pricing_Engine'!$B$8)^(-3)</f>
        <v>682734882.030239</v>
      </c>
      <c r="E18" s="25">
        <f>'2_Pricing_Engine'!$B$37*('2_Pricing_Engine'!$B$32-SUM('2_Pricing_Engine'!H15:H26))/'2_Pricing_Engine'!E26</f>
        <v>-326887957.130354</v>
      </c>
      <c r="F18" s="26">
        <f>((F17+36159777)*1.05-800000000*('1_Mortality_Table'!B21/100000)/('1_Mortality_Table'!C21/100))</f>
        <v>604308450.676547</v>
      </c>
      <c r="G18" s="27">
        <f>F18/'2_Pricing_Engine'!$B$7</f>
        <v>0.755385563345684</v>
      </c>
    </row>
    <row r="19" ht="16.5" customHeight="1" spans="1:7">
      <c r="A19" s="19">
        <v>13</v>
      </c>
      <c r="B19" s="20">
        <f>'2_Pricing_Engine'!$B$5+13</f>
        <v>43</v>
      </c>
      <c r="C19" s="24">
        <f>'2_Pricing_Engine'!E27</f>
        <v>0.968213541739505</v>
      </c>
      <c r="D19" s="25">
        <f>'2_Pricing_Engine'!$B$7*('2_Pricing_Engine'!E29/'2_Pricing_Engine'!E27)*(1+'2_Pricing_Engine'!$B$8)^(-2)</f>
        <v>719541123.70068</v>
      </c>
      <c r="E19" s="25">
        <f>'2_Pricing_Engine'!$B$37*('2_Pricing_Engine'!$B$32-SUM('2_Pricing_Engine'!H15:H27))/'2_Pricing_Engine'!E27</f>
        <v>-347347843.865755</v>
      </c>
      <c r="F19" s="26">
        <f>((F18+36159777)*1.05-800000000*('1_Mortality_Table'!B22/100000)/('1_Mortality_Table'!C22/100))</f>
        <v>672488660.008091</v>
      </c>
      <c r="G19" s="27">
        <f>F19/'2_Pricing_Engine'!$B$7</f>
        <v>0.840610825010114</v>
      </c>
    </row>
    <row r="20" ht="16.5" customHeight="1" spans="1:7">
      <c r="A20" s="19">
        <v>14</v>
      </c>
      <c r="B20" s="20">
        <f>'2_Pricing_Engine'!$B$5+14</f>
        <v>44</v>
      </c>
      <c r="C20" s="24">
        <f>'2_Pricing_Engine'!E28</f>
        <v>0.964311641166295</v>
      </c>
      <c r="D20" s="25">
        <f>'2_Pricing_Engine'!$B$7*('2_Pricing_Engine'!E29/'2_Pricing_Engine'!E28)*(1+'2_Pricing_Engine'!$B$8)^(-1)</f>
        <v>758575238.095238</v>
      </c>
      <c r="E20" s="25">
        <f>'2_Pricing_Engine'!$B$37*('2_Pricing_Engine'!$B$32-SUM('2_Pricing_Engine'!H15:H28))/'2_Pricing_Engine'!E28</f>
        <v>-367079621.021739</v>
      </c>
      <c r="F20" s="26">
        <f>((F19+36159777)*1.05-800000000*('1_Mortality_Table'!B23/100000)/('1_Mortality_Table'!C23/100))</f>
        <v>744077621.813203</v>
      </c>
      <c r="G20" s="27">
        <f>F20/'2_Pricing_Engine'!$B$7</f>
        <v>0.930097027266504</v>
      </c>
    </row>
    <row r="21" ht="16.5" customHeight="1" spans="1:7">
      <c r="A21" s="19">
        <v>15</v>
      </c>
      <c r="B21" s="20">
        <f>'2_Pricing_Engine'!$B$5+15</f>
        <v>45</v>
      </c>
      <c r="C21" s="24">
        <f>'2_Pricing_Engine'!E29</f>
        <v>0.960097599294398</v>
      </c>
      <c r="D21" s="25">
        <f>'2_Pricing_Engine'!$B$7*('2_Pricing_Engine'!E29/'2_Pricing_Engine'!E29)*(1+'2_Pricing_Engine'!$B$8)^(0)</f>
        <v>800000000</v>
      </c>
      <c r="E21" s="25">
        <f>'2_Pricing_Engine'!$B$37*('2_Pricing_Engine'!$B$32-SUM('2_Pricing_Engine'!H15:H29))/'2_Pricing_Engine'!E29</f>
        <v>-386144420.081144</v>
      </c>
      <c r="F21" s="26">
        <f>((F20+36159777)*1.05-800000000*('1_Mortality_Table'!B24/100000)/('1_Mortality_Table'!C24/100))</f>
        <v>819245757.409287</v>
      </c>
      <c r="G21" s="27">
        <f>F21/'2_Pricing_Engine'!$B$7</f>
        <v>1.02405719676161</v>
      </c>
    </row>
    <row r="25" ht="96.6" spans="1:7">
      <c r="A25" s="28" t="s">
        <v>64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showGridLines="0" tabSelected="1" workbookViewId="0">
      <selection activeCell="A1" sqref="$A1:$XFD1048576"/>
    </sheetView>
  </sheetViews>
  <sheetFormatPr defaultColWidth="8.67592592592593" defaultRowHeight="14.4" outlineLevelCol="7"/>
  <cols>
    <col min="1" max="1" width="28" customWidth="1"/>
    <col min="2" max="8" width="14" customWidth="1"/>
  </cols>
  <sheetData>
    <row r="1" ht="17.4" spans="1:8">
      <c r="A1" s="1" t="s">
        <v>65</v>
      </c>
      <c r="B1" s="1"/>
      <c r="C1" s="1"/>
      <c r="D1" s="1"/>
      <c r="E1" s="1"/>
      <c r="F1" s="1"/>
      <c r="G1" s="1"/>
      <c r="H1" s="1"/>
    </row>
    <row r="2" spans="1:8">
      <c r="A2" s="2" t="s">
        <v>66</v>
      </c>
      <c r="B2" s="2"/>
      <c r="C2" s="2"/>
      <c r="D2" s="2"/>
      <c r="E2" s="2"/>
      <c r="F2" s="2"/>
      <c r="G2" s="2"/>
      <c r="H2" s="2"/>
    </row>
    <row r="4" ht="19.5" customHeight="1" spans="1:8">
      <c r="A4" s="3" t="s">
        <v>67</v>
      </c>
      <c r="B4" s="3"/>
      <c r="C4" s="3"/>
      <c r="D4" s="3"/>
      <c r="E4" s="3"/>
      <c r="F4" s="3"/>
      <c r="G4" s="3"/>
    </row>
    <row r="5" ht="30" customHeight="1" spans="1:8">
      <c r="A5" s="4" t="s">
        <v>68</v>
      </c>
      <c r="B5" s="4" t="s">
        <v>69</v>
      </c>
      <c r="C5" s="4" t="s">
        <v>70</v>
      </c>
      <c r="D5" s="5" t="s">
        <v>71</v>
      </c>
    </row>
    <row r="6" ht="16.5" customHeight="1" spans="1:8">
      <c r="A6" s="6">
        <v>0.03</v>
      </c>
      <c r="B6" s="7" t="s">
        <v>72</v>
      </c>
      <c r="C6" s="8" t="s">
        <v>73</v>
      </c>
    </row>
    <row r="7" ht="16.5" customHeight="1" spans="1:8">
      <c r="A7" s="6">
        <v>0.035</v>
      </c>
      <c r="B7" s="7" t="s">
        <v>72</v>
      </c>
      <c r="C7" s="8" t="s">
        <v>73</v>
      </c>
    </row>
    <row r="8" ht="16.5" customHeight="1" spans="1:8">
      <c r="A8" s="6">
        <v>0.04</v>
      </c>
      <c r="B8" s="7" t="s">
        <v>72</v>
      </c>
      <c r="C8" s="9" t="s">
        <v>74</v>
      </c>
    </row>
    <row r="9" ht="16.5" customHeight="1" spans="1:8">
      <c r="A9" s="6">
        <v>0.045</v>
      </c>
      <c r="B9" s="7" t="s">
        <v>72</v>
      </c>
      <c r="C9" s="9" t="s">
        <v>74</v>
      </c>
    </row>
    <row r="10" ht="16.5" customHeight="1" spans="1:8">
      <c r="A10" s="10">
        <v>0.05</v>
      </c>
      <c r="B10" s="11">
        <f>'2_Pricing_Engine'!B37</f>
        <v>36284823</v>
      </c>
      <c r="C10" s="12" t="s">
        <v>75</v>
      </c>
    </row>
    <row r="11" ht="16.5" customHeight="1" spans="1:8">
      <c r="A11" s="6">
        <v>0.055</v>
      </c>
      <c r="B11" s="7" t="s">
        <v>72</v>
      </c>
      <c r="C11" s="13" t="s">
        <v>76</v>
      </c>
    </row>
    <row r="12" ht="16.5" customHeight="1" spans="1:8">
      <c r="A12" s="6">
        <v>0.06</v>
      </c>
      <c r="B12" s="7" t="s">
        <v>72</v>
      </c>
      <c r="C12" s="13" t="s">
        <v>76</v>
      </c>
    </row>
    <row r="13" ht="16.5" customHeight="1" spans="1:8">
      <c r="A13" s="6">
        <v>0.065</v>
      </c>
      <c r="B13" s="7" t="s">
        <v>72</v>
      </c>
      <c r="C13" s="13" t="s">
        <v>76</v>
      </c>
    </row>
    <row r="14" ht="16.5" customHeight="1" spans="1:8">
      <c r="A14" s="6">
        <v>0.07</v>
      </c>
      <c r="B14" s="7" t="s">
        <v>72</v>
      </c>
      <c r="C14" s="13" t="s">
        <v>76</v>
      </c>
    </row>
    <row r="17" ht="19.5" customHeight="1" spans="1:6">
      <c r="A17" s="3" t="s">
        <v>77</v>
      </c>
      <c r="B17" s="3"/>
      <c r="C17" s="3"/>
      <c r="D17" s="3"/>
      <c r="E17" s="3"/>
      <c r="F17" s="3"/>
    </row>
    <row r="18" ht="36" customHeight="1" spans="1:6">
      <c r="A18" s="14" t="s">
        <v>78</v>
      </c>
      <c r="B18" s="14" t="s">
        <v>79</v>
      </c>
      <c r="C18" s="14" t="s">
        <v>80</v>
      </c>
      <c r="D18" s="14" t="s">
        <v>81</v>
      </c>
      <c r="E18" s="14" t="s">
        <v>82</v>
      </c>
      <c r="F18" s="14" t="s">
        <v>83</v>
      </c>
    </row>
    <row r="19" ht="27.75" customHeight="1" spans="1:6">
      <c r="A19" s="15" t="s">
        <v>84</v>
      </c>
      <c r="B19" s="15" t="s">
        <v>85</v>
      </c>
      <c r="C19" s="15" t="s">
        <v>86</v>
      </c>
      <c r="D19" s="15" t="s">
        <v>23</v>
      </c>
      <c r="E19" s="15" t="s">
        <v>75</v>
      </c>
      <c r="F19" s="15" t="s">
        <v>87</v>
      </c>
    </row>
    <row r="20" ht="27.75" customHeight="1" spans="1:6">
      <c r="A20" s="16" t="s">
        <v>88</v>
      </c>
      <c r="B20" s="16" t="s">
        <v>89</v>
      </c>
      <c r="C20" s="16" t="s">
        <v>86</v>
      </c>
      <c r="D20" s="16" t="s">
        <v>23</v>
      </c>
      <c r="E20" s="16" t="s">
        <v>90</v>
      </c>
      <c r="F20" s="16" t="s">
        <v>91</v>
      </c>
    </row>
    <row r="21" ht="27.75" customHeight="1" spans="1:6">
      <c r="A21" s="16" t="s">
        <v>92</v>
      </c>
      <c r="B21" s="16" t="s">
        <v>85</v>
      </c>
      <c r="C21" s="16" t="s">
        <v>86</v>
      </c>
      <c r="D21" s="16" t="s">
        <v>93</v>
      </c>
      <c r="E21" s="16" t="s">
        <v>94</v>
      </c>
      <c r="F21" s="16" t="s">
        <v>95</v>
      </c>
    </row>
    <row r="22" ht="27.75" customHeight="1" spans="1:6">
      <c r="A22" s="17" t="s">
        <v>96</v>
      </c>
      <c r="B22" s="17" t="s">
        <v>89</v>
      </c>
      <c r="C22" s="17" t="s">
        <v>97</v>
      </c>
      <c r="D22" s="17" t="s">
        <v>93</v>
      </c>
      <c r="E22" s="17" t="s">
        <v>98</v>
      </c>
      <c r="F22" s="17" t="s">
        <v>99</v>
      </c>
    </row>
    <row r="24" ht="7.5" customHeight="1"/>
    <row r="25" ht="19.5" customHeight="1" spans="1:6">
      <c r="A25" s="3" t="s">
        <v>100</v>
      </c>
      <c r="B25" s="3"/>
      <c r="C25" s="3"/>
      <c r="D25" s="3"/>
      <c r="E25" s="3"/>
      <c r="F25" s="3"/>
    </row>
    <row r="26" ht="18" customHeight="1" spans="1:6">
      <c r="A26" s="18" t="s">
        <v>101</v>
      </c>
      <c r="B26" s="18"/>
      <c r="C26" s="18"/>
      <c r="D26" s="18"/>
      <c r="E26" s="18"/>
      <c r="F26" s="18"/>
    </row>
    <row r="27" ht="18" customHeight="1" spans="1:6">
      <c r="A27" s="18" t="s">
        <v>102</v>
      </c>
      <c r="B27" s="18"/>
      <c r="C27" s="18"/>
      <c r="D27" s="18"/>
      <c r="E27" s="18"/>
      <c r="F27" s="18"/>
    </row>
    <row r="28" ht="18" customHeight="1" spans="1:6">
      <c r="A28" s="18" t="s">
        <v>103</v>
      </c>
      <c r="B28" s="18"/>
      <c r="C28" s="18"/>
      <c r="D28" s="18"/>
      <c r="E28" s="18"/>
      <c r="F28" s="18"/>
    </row>
    <row r="29" ht="18" customHeight="1" spans="1:6">
      <c r="A29" s="18" t="s">
        <v>104</v>
      </c>
      <c r="B29" s="18"/>
      <c r="C29" s="18"/>
      <c r="D29" s="18"/>
      <c r="E29" s="18"/>
      <c r="F29" s="18"/>
    </row>
    <row r="30" ht="18" customHeight="1" spans="1:6">
      <c r="A30" s="18" t="s">
        <v>105</v>
      </c>
      <c r="B30" s="18"/>
      <c r="C30" s="18"/>
      <c r="D30" s="18"/>
      <c r="E30" s="18"/>
      <c r="F30" s="18"/>
    </row>
  </sheetData>
  <mergeCells count="10">
    <mergeCell ref="A1:H1"/>
    <mergeCell ref="A2:H2"/>
    <mergeCell ref="A4:G4"/>
    <mergeCell ref="A17:F17"/>
    <mergeCell ref="A25:F25"/>
    <mergeCell ref="A26:F26"/>
    <mergeCell ref="A27:F27"/>
    <mergeCell ref="A28:F28"/>
    <mergeCell ref="A29:F29"/>
    <mergeCell ref="A30:F30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1_Mortality_Table</vt:lpstr>
      <vt:lpstr>2_Pricing_Engine</vt:lpstr>
      <vt:lpstr>3_Reserve_Projection</vt:lpstr>
      <vt:lpstr>4_Stress_Testing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Xuân Mai Trịnh</cp:lastModifiedBy>
  <cp:revision>0</cp:revision>
  <dcterms:created xsi:type="dcterms:W3CDTF">2026-07-01T03:31:00Z</dcterms:created>
  <dcterms:modified xsi:type="dcterms:W3CDTF">2026-07-01T08:30:41Z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897DD955426C4B22B88303FF1810EE36_12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